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cuments\Excel Learning\Excel--ViVa Fashion Sales Project\Dataset\"/>
    </mc:Choice>
  </mc:AlternateContent>
  <bookViews>
    <workbookView xWindow="0" yWindow="0" windowWidth="19200" windowHeight="7900" activeTab="4"/>
  </bookViews>
  <sheets>
    <sheet name="Pivots" sheetId="5" r:id="rId1"/>
    <sheet name="Sheet3" sheetId="7" r:id="rId2"/>
    <sheet name="Data" sheetId="1" r:id="rId3"/>
    <sheet name="Questions &amp; KPIs" sheetId="2" r:id="rId4"/>
    <sheet name="Dashboard" sheetId="3" r:id="rId5"/>
    <sheet name="Logo &amp; Colors" sheetId="4" r:id="rId6"/>
  </sheets>
  <definedNames>
    <definedName name="_xlnm._FilterDatabase" localSheetId="0" hidden="1">Pivots!$G$64:$I$81</definedName>
    <definedName name="_xlcn.WorksheetConnection_PivotsG64I1221" hidden="1">Pivots!$J$64:$L$122</definedName>
    <definedName name="Slicer_Gender_Value">#N/A</definedName>
    <definedName name="Slicer_Order_Mode">#N/A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24193013-2580-4dab-b6c8-c29f7b292c92" name="Range" connection="WorksheetConnection_Pivots!$G$64:$I$12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5" l="1"/>
  <c r="H60" i="5"/>
  <c r="H69" i="5"/>
  <c r="G4" i="5"/>
  <c r="H4" i="5"/>
  <c r="I4" i="5"/>
  <c r="G64" i="5"/>
  <c r="H64" i="5"/>
  <c r="I64" i="5"/>
  <c r="H65" i="5"/>
  <c r="I65" i="5"/>
  <c r="G66" i="5"/>
  <c r="H66" i="5"/>
  <c r="I66" i="5"/>
  <c r="G67" i="5"/>
  <c r="H67" i="5"/>
  <c r="I67" i="5"/>
  <c r="G68" i="5"/>
  <c r="H68" i="5"/>
  <c r="I68" i="5"/>
  <c r="G69" i="5"/>
  <c r="I69" i="5"/>
  <c r="M67" i="5"/>
  <c r="M66" i="5"/>
  <c r="M68" i="5"/>
  <c r="M69" i="5"/>
  <c r="M65" i="5"/>
  <c r="M64" i="5"/>
  <c r="L64" i="5"/>
  <c r="K64" i="5"/>
  <c r="L65" i="5"/>
  <c r="L66" i="5"/>
  <c r="L67" i="5"/>
  <c r="L68" i="5"/>
  <c r="L69" i="5"/>
  <c r="K66" i="5"/>
  <c r="K67" i="5"/>
  <c r="K68" i="5"/>
  <c r="K69" i="5"/>
  <c r="K65" i="5"/>
  <c r="J4" i="7"/>
  <c r="K4" i="7"/>
  <c r="L4" i="7"/>
  <c r="I4" i="7"/>
  <c r="I5" i="7"/>
  <c r="J5" i="7"/>
  <c r="K5" i="7"/>
  <c r="L5" i="7"/>
  <c r="I6" i="7"/>
  <c r="J6" i="7"/>
  <c r="K6" i="7"/>
  <c r="L6" i="7"/>
  <c r="I7" i="7"/>
  <c r="J7" i="7"/>
  <c r="K7" i="7"/>
  <c r="L7" i="7"/>
  <c r="I8" i="7"/>
  <c r="J8" i="7"/>
  <c r="K8" i="7"/>
  <c r="L8" i="7"/>
  <c r="I9" i="7"/>
  <c r="J9" i="7"/>
  <c r="K9" i="7"/>
  <c r="L9" i="7"/>
  <c r="H6" i="7"/>
  <c r="H7" i="7"/>
  <c r="H8" i="7"/>
  <c r="H9" i="7"/>
  <c r="H5" i="7"/>
  <c r="K4" i="5"/>
  <c r="J4" i="5"/>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ivots!$G$64:$I$122" type="102" refreshedVersion="5" minRefreshableVersion="5">
    <extLst>
      <ext xmlns:x15="http://schemas.microsoft.com/office/spreadsheetml/2010/11/main" uri="{DE250136-89BD-433C-8126-D09CA5730AF9}">
        <x15:connection id="Range-24193013-2580-4dab-b6c8-c29f7b292c92" autoDelete="1" usedByAddin="1">
          <x15:rangePr sourceName="_xlcn.WorksheetConnection_PivotsG64I122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<sst xmlns="http://schemas.openxmlformats.org/spreadsheetml/2006/main" count="14656" uniqueCount="2573">
  <si>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</si>
  <si>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</si>
  <si>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</si>
  <si>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</si>
  <si>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</si>
  <si>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</si>
  <si>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</si>
  <si>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</si>
  <si>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</si>
  <si>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</si>
  <si>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</si>
  <si>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</si>
  <si>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</si>
  <si>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</si>
  <si>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</si>
  <si>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</si>
  <si>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</si>
  <si>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</si>
  <si>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</si>
  <si>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</si>
  <si>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</si>
  <si>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</si>
  <si>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</si>
  <si>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</si>
  <si>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</si>
  <si>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</si>
  <si>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</si>
  <si>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</si>
  <si>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</si>
  <si>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</si>
  <si>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</si>
  <si>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</si>
  <si>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</si>
  <si>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</si>
  <si>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</si>
  <si>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</si>
  <si>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</si>
  <si>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</si>
  <si>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</si>
  <si>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</si>
  <si>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</si>
  <si>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</si>
  <si>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</si>
  <si>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</si>
  <si>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</si>
  <si>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</si>
  <si>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</si>
  <si>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</si>
  <si>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</si>
  <si>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</si>
  <si>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</si>
  <si>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</si>
  <si>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</si>
  <si>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</si>
  <si>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</si>
  <si>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</si>
  <si>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</si>
  <si>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</si>
  <si>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</si>
  <si>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</si>
  <si>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</si>
  <si>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</si>
  <si>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</si>
  <si>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</si>
  <si>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</si>
  <si>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</si>
  <si>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</si>
  <si>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</si>
  <si>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</si>
  <si>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</si>
  <si>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</si>
  <si>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</si>
  <si>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</si>
  <si>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</si>
  <si>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</si>
  <si>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</si>
  <si>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</si>
  <si>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</si>
  <si>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</si>
  <si>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</si>
  <si>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</si>
  <si>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</si>
  <si>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</si>
  <si>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</si>
  <si>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</si>
  <si>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</si>
  <si>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</si>
  <si>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</si>
  <si>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</si>
  <si>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</si>
  <si>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</si>
  <si>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</si>
  <si>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</si>
  <si>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</si>
  <si>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</si>
  <si>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</si>
  <si>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</si>
  <si>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</si>
  <si>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</si>
  <si>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</si>
  <si>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</si>
  <si>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</si>
  <si>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</si>
  <si>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</si>
  <si>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</si>
  <si>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</si>
  <si>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</si>
  <si>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</si>
  <si>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</si>
  <si>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</si>
  <si>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</si>
  <si>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</si>
  <si>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</si>
  <si>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</si>
  <si>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</si>
  <si>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</si>
  <si>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</si>
  <si>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</si>
  <si>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</si>
  <si>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</si>
  <si>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</si>
  <si>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</si>
  <si>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</si>
  <si>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</si>
  <si>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</si>
  <si>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</si>
  <si>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</si>
  <si>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</si>
  <si>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</si>
  <si>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</si>
  <si>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</si>
  <si>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</si>
  <si>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</si>
  <si>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</si>
  <si>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</si>
  <si>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</si>
  <si>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</si>
  <si>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</si>
  <si>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</si>
  <si>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</si>
  <si>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</si>
  <si>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</si>
  <si>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</si>
  <si>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</si>
  <si>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</si>
  <si>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</si>
  <si>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</si>
  <si>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</si>
  <si>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</si>
  <si>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</si>
  <si>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</si>
  <si>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</si>
  <si>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</si>
  <si>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</si>
  <si>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</si>
  <si>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</si>
  <si>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</si>
  <si>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</si>
  <si>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</si>
  <si>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</si>
  <si>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</si>
  <si>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</si>
  <si>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</si>
  <si>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</si>
  <si>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</si>
  <si>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</si>
  <si>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</si>
  <si>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</si>
  <si>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</si>
  <si>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</si>
  <si>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</si>
  <si>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</si>
  <si>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</si>
  <si>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</si>
  <si>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</si>
  <si>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</si>
  <si>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</si>
  <si>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</si>
  <si>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</si>
  <si>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</si>
  <si>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</si>
  <si>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</si>
  <si>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</si>
  <si>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</si>
  <si>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</si>
  <si>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</si>
  <si>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</si>
  <si>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</si>
  <si>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</si>
  <si>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</si>
  <si>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</si>
  <si>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</si>
  <si>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</si>
  <si>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</si>
  <si>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</si>
  <si>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</si>
  <si>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</si>
  <si>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</si>
  <si>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</si>
  <si>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</si>
  <si>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</si>
  <si>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</si>
  <si>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</si>
  <si>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</si>
  <si>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</si>
  <si>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</si>
  <si>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</si>
  <si>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</si>
  <si>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</si>
  <si>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</si>
  <si>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</si>
  <si>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</si>
  <si>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</si>
  <si>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</si>
  <si>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</si>
  <si>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</si>
  <si>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</si>
  <si>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</si>
  <si>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</si>
  <si>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</si>
  <si>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</si>
  <si>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</si>
  <si>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</si>
  <si>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</si>
  <si>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</si>
  <si>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</si>
  <si>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</si>
  <si>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</si>
  <si>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</si>
  <si>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</si>
  <si>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</si>
  <si>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</si>
  <si>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</si>
  <si>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</si>
  <si>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</si>
  <si>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</si>
  <si>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</si>
  <si>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</si>
  <si>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</si>
  <si>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</si>
  <si>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</si>
  <si>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</si>
  <si>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</si>
  <si>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</si>
  <si>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</si>
  <si>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</si>
  <si>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</si>
  <si>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</si>
  <si>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</si>
  <si>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</si>
  <si>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</si>
  <si>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</si>
  <si>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</si>
  <si>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</si>
  <si>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</si>
  <si>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</si>
  <si>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</si>
  <si>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</si>
  <si>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</si>
  <si>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</si>
  <si>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</si>
  <si>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</si>
  <si>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</si>
  <si>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</si>
  <si>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</si>
  <si>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</si>
  <si>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</si>
  <si>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</si>
  <si>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</si>
  <si>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</si>
  <si>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</si>
  <si>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</si>
  <si>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</si>
  <si>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</si>
  <si>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</si>
  <si>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</si>
  <si>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</si>
  <si>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</si>
  <si>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</si>
  <si>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</si>
  <si>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</si>
  <si>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</si>
  <si>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</si>
  <si>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</si>
  <si>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</si>
  <si>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</si>
  <si>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</si>
  <si>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</si>
  <si>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</si>
  <si>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</si>
  <si>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</si>
  <si>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</si>
  <si>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</si>
  <si>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</si>
  <si>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</si>
  <si>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</si>
  <si>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</si>
  <si>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</si>
  <si>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</si>
  <si>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</si>
  <si>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</si>
  <si>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</si>
  <si>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</si>
  <si>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</si>
  <si>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</si>
  <si>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</si>
  <si>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</si>
  <si>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</si>
  <si>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</si>
  <si>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</si>
  <si>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</si>
  <si>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</si>
  <si>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</si>
  <si>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</si>
  <si>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</si>
  <si>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</si>
  <si>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</si>
  <si>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</si>
  <si>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</si>
  <si>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</si>
  <si>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</si>
  <si>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</si>
  <si>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</si>
  <si>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</si>
  <si>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</si>
  <si>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</si>
  <si>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</si>
  <si>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</si>
  <si>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</si>
  <si>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</si>
  <si>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</si>
  <si>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</si>
  <si>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</si>
  <si>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</si>
  <si>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</si>
  <si>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</si>
  <si>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</si>
  <si>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</si>
  <si>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</si>
  <si>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</si>
  <si>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</si>
  <si>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</si>
  <si>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</si>
  <si>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</si>
  <si>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</si>
  <si>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</si>
  <si>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</si>
  <si>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</si>
  <si>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</si>
  <si>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</si>
  <si>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</si>
  <si>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</si>
  <si>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</si>
  <si>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</si>
  <si>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</si>
  <si>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</si>
  <si>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</si>
  <si>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</si>
  <si>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</si>
  <si>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</si>
  <si>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</si>
  <si>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</si>
  <si>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</si>
  <si>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</si>
  <si>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</si>
  <si>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</si>
  <si>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</si>
  <si>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</si>
  <si>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</si>
  <si>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</si>
  <si>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</si>
  <si>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</si>
  <si>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</si>
  <si>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</si>
  <si>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</si>
  <si>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</si>
  <si>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</si>
  <si>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</si>
  <si>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</si>
  <si>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</si>
  <si>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</si>
  <si>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</si>
  <si>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</si>
  <si>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</si>
  <si>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</si>
  <si>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</si>
  <si>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</si>
  <si>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</si>
  <si>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</si>
  <si>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</si>
  <si>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</si>
  <si>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</si>
  <si>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</si>
  <si>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</si>
  <si>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</si>
  <si>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</si>
  <si>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</si>
  <si>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</si>
  <si>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</si>
  <si>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</si>
  <si>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</si>
  <si>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</si>
  <si>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</si>
  <si>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</si>
  <si>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</si>
  <si>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</si>
  <si>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</si>
  <si>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</si>
  <si>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</si>
  <si>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</si>
  <si>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</si>
  <si>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</si>
  <si>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</si>
  <si>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</si>
  <si>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</si>
  <si>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</si>
  <si>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</si>
  <si>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</si>
  <si>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</si>
  <si>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</si>
  <si>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</si>
  <si>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</si>
  <si>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</si>
  <si>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</si>
  <si>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</si>
  <si>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</si>
  <si>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</si>
  <si>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</si>
  <si>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</si>
  <si>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</si>
  <si>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</si>
  <si>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</si>
  <si>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</si>
  <si>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</si>
  <si>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</si>
  <si>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</si>
  <si>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</si>
  <si>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</si>
  <si>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</si>
  <si>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</si>
  <si>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</si>
  <si>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</si>
  <si>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</si>
  <si>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</si>
  <si>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</si>
  <si>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</si>
  <si>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</si>
  <si>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</si>
  <si>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</si>
  <si>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</si>
  <si>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</si>
  <si>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</si>
  <si>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</si>
  <si>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</si>
  <si>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</si>
  <si>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</si>
  <si>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</si>
  <si>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</si>
  <si>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</si>
  <si>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</si>
  <si>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</si>
  <si>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</si>
  <si>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</si>
  <si>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</si>
  <si>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</si>
  <si>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</si>
  <si>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</si>
  <si>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</si>
  <si>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</si>
  <si>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</si>
  <si>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</si>
  <si>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</si>
  <si>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</si>
  <si>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</si>
  <si>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</si>
  <si>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</si>
  <si>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</si>
  <si>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</si>
  <si>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</si>
  <si>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</si>
  <si>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</si>
  <si>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</si>
  <si>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</si>
  <si>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</si>
  <si>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</si>
  <si>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</si>
  <si>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</si>
  <si>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</si>
  <si>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</si>
  <si>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</si>
  <si>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</si>
  <si>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</si>
  <si>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</si>
  <si>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</si>
  <si>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</si>
  <si>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</si>
  <si>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</si>
  <si>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</si>
  <si>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</si>
  <si>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</si>
  <si>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</si>
  <si>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</si>
  <si>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</si>
  <si>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</si>
  <si>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</si>
  <si>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</si>
  <si>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</si>
  <si>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</si>
  <si>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</si>
  <si>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</si>
  <si>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</si>
  <si>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</si>
  <si>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</si>
  <si>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</si>
  <si>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</si>
  <si>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</si>
  <si>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</si>
  <si>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</si>
  <si>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</si>
  <si>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</si>
  <si>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</si>
  <si>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</si>
  <si>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</si>
  <si>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</si>
  <si>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</si>
  <si>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</si>
  <si>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</si>
  <si>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</si>
  <si>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</si>
  <si>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</si>
  <si>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</si>
  <si>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</si>
  <si>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</si>
  <si>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</si>
  <si>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</si>
  <si>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</si>
  <si>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</si>
  <si>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</si>
  <si>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</si>
  <si>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</si>
  <si>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</si>
  <si>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</si>
  <si>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</si>
  <si>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</si>
  <si>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</si>
  <si>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</si>
  <si>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</si>
  <si>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</si>
  <si>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</si>
  <si>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</si>
  <si>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</si>
  <si>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</si>
  <si>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</si>
  <si>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</si>
  <si>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</si>
  <si>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</si>
  <si>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</si>
  <si>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</si>
  <si>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</si>
  <si>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</si>
  <si>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</si>
  <si>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</si>
  <si>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</si>
  <si>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</si>
  <si>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</si>
  <si>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</si>
  <si>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</si>
  <si>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</si>
  <si>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</si>
  <si>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</si>
  <si>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</si>
  <si>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</si>
  <si>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</si>
  <si>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</si>
  <si>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</si>
  <si>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</si>
  <si>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</si>
  <si>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</si>
  <si>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</si>
  <si>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</si>
  <si>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</si>
  <si>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</si>
  <si>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</si>
  <si>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</si>
  <si>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</si>
  <si>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</si>
  <si>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</si>
  <si>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</si>
  <si>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</si>
  <si>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</si>
  <si>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</si>
  <si>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</si>
  <si>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</si>
  <si>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</si>
  <si>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</si>
  <si>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</si>
  <si>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</si>
  <si>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</si>
  <si>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</si>
  <si>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</si>
  <si>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</si>
  <si>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</si>
  <si>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</si>
  <si>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</si>
  <si>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</si>
  <si>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</si>
  <si>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</si>
  <si>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</si>
  <si>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</si>
  <si>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</si>
  <si>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</si>
  <si>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</si>
  <si>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</si>
  <si>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</si>
  <si>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</si>
  <si>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</si>
  <si>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</si>
  <si>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</si>
  <si>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</si>
  <si>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</si>
  <si>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</si>
  <si>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</si>
  <si>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</si>
  <si>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</si>
  <si>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</si>
  <si>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</si>
  <si>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</si>
  <si>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</si>
  <si>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</si>
  <si>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</si>
  <si>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</si>
  <si>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</si>
  <si>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</si>
  <si>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</si>
  <si>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</si>
  <si>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</si>
  <si>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</si>
  <si>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</si>
  <si>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</si>
  <si>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</si>
  <si>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</si>
  <si>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</si>
  <si>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</si>
  <si>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</si>
  <si>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</si>
  <si>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</si>
  <si>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</si>
  <si>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</si>
  <si>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</si>
  <si>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</si>
  <si>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</si>
  <si>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</si>
  <si>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</si>
  <si>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</si>
  <si>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</si>
  <si>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</si>
  <si>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</si>
  <si>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</si>
  <si>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</si>
  <si>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</si>
  <si>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</si>
  <si>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</si>
  <si>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</si>
  <si>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</si>
  <si>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</si>
  <si>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</si>
  <si>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</si>
  <si>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</si>
  <si>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</si>
  <si>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</si>
  <si>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</si>
  <si>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</si>
  <si>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</si>
  <si>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</si>
  <si>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</si>
  <si>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</si>
  <si>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</si>
  <si>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</si>
  <si>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</si>
  <si>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</si>
  <si>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</si>
  <si>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</si>
  <si>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</si>
  <si>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</si>
  <si>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</si>
  <si>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</si>
  <si>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</si>
  <si>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</si>
  <si>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</si>
  <si>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</si>
  <si>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</si>
  <si>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</si>
  <si>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</si>
  <si>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</si>
  <si>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</si>
  <si>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</si>
  <si>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</si>
  <si>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</si>
  <si>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</si>
  <si>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</si>
  <si>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</si>
  <si>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</si>
  <si>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</si>
  <si>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</si>
  <si>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</si>
  <si>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</si>
  <si>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</si>
  <si>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</si>
  <si>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</si>
  <si>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</si>
  <si>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</si>
  <si>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</si>
  <si>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</si>
  <si>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</si>
  <si>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</si>
  <si>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</si>
  <si>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</si>
  <si>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</si>
  <si>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</si>
  <si>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</si>
  <si>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</si>
  <si>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</si>
  <si>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</si>
  <si>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</si>
  <si>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</si>
  <si>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</si>
  <si>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</si>
  <si>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</si>
  <si>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</si>
  <si>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</si>
  <si>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</si>
  <si>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</si>
  <si>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</si>
  <si>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</si>
  <si>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</si>
  <si>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</si>
  <si>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</si>
  <si>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</si>
  <si>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</si>
  <si>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</si>
  <si>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</si>
  <si>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</si>
  <si>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</si>
  <si>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</si>
  <si>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</si>
  <si>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</si>
  <si>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</si>
  <si>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</si>
  <si>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</si>
  <si>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</si>
  <si>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</si>
  <si>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</si>
  <si>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</si>
  <si>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</si>
  <si>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</si>
  <si>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</si>
  <si>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</si>
  <si>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</si>
  <si>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</si>
  <si>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</si>
  <si>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</si>
  <si>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</si>
  <si>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</si>
  <si>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</si>
  <si>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</si>
  <si>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</si>
  <si>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</si>
  <si>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</si>
  <si>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</si>
  <si>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</si>
  <si>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</si>
  <si>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</si>
  <si>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</si>
  <si>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</si>
  <si>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</si>
  <si>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</si>
  <si>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</si>
  <si>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</si>
  <si>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</si>
  <si>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</si>
  <si>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</si>
  <si>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</si>
  <si>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</si>
  <si>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</si>
  <si>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</si>
  <si>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</si>
  <si>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</si>
  <si>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</si>
  <si>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</si>
  <si>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</si>
  <si>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</si>
  <si>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</si>
  <si>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</si>
  <si>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</si>
  <si>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</si>
  <si>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</si>
  <si>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</si>
  <si>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</si>
  <si>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</si>
  <si>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</si>
  <si>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</si>
  <si>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</si>
  <si>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</si>
  <si>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</si>
  <si>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</si>
  <si>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</si>
  <si>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</si>
  <si>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</si>
  <si>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</si>
  <si>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</si>
  <si>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</si>
  <si>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</si>
  <si>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</si>
  <si>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</si>
  <si>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</si>
  <si>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</si>
  <si>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</si>
  <si>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</si>
  <si>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</si>
  <si>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</si>
  <si>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</si>
  <si>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</si>
  <si>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</si>
  <si>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</si>
  <si>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</si>
  <si>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</si>
  <si>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</si>
  <si>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</si>
  <si>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</si>
  <si>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</si>
  <si>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</si>
  <si>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</si>
  <si>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</si>
  <si>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</si>
  <si>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</si>
  <si>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</si>
  <si>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</si>
  <si>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</si>
  <si>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</si>
  <si>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</si>
  <si>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</si>
  <si>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</si>
  <si>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</si>
  <si>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</si>
  <si>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</si>
  <si>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</si>
  <si>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</si>
  <si>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</si>
  <si>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</si>
  <si>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</si>
  <si>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</si>
  <si>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</si>
  <si>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</si>
  <si>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</si>
  <si>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</si>
  <si>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</si>
  <si>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</si>
  <si>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</si>
  <si>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</si>
  <si>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</si>
  <si>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</si>
  <si>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</si>
  <si>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</si>
  <si>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</si>
  <si>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</si>
  <si>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</si>
  <si>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</si>
  <si>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</si>
  <si>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</si>
  <si>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</si>
  <si>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</si>
  <si>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</si>
  <si>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</si>
  <si>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</si>
  <si>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</si>
  <si>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</si>
  <si>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</si>
  <si>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</si>
  <si>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</si>
  <si>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</si>
  <si>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</si>
  <si>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</si>
  <si>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</si>
  <si>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</si>
  <si>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</si>
  <si>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</si>
  <si>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</si>
  <si>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</si>
  <si>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</si>
  <si>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</si>
  <si>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</si>
  <si>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</si>
  <si>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</si>
  <si>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</si>
  <si>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</si>
  <si>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</si>
  <si>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</si>
  <si>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</si>
  <si>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</si>
  <si>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</si>
  <si>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</si>
  <si>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</si>
  <si>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</si>
  <si>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</si>
  <si>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</si>
  <si>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</si>
  <si>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</si>
  <si>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</si>
  <si>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</si>
  <si>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</si>
  <si>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</si>
  <si>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</si>
  <si>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</si>
  <si>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</si>
  <si>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</si>
  <si>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</si>
  <si>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</si>
  <si>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</si>
  <si>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</si>
  <si>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</si>
  <si>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</si>
  <si>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</si>
  <si>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</si>
  <si>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</si>
  <si>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</si>
  <si>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</si>
  <si>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</si>
  <si>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</si>
  <si>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</si>
  <si>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</si>
  <si>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</si>
  <si>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</si>
  <si>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</si>
  <si>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</si>
  <si>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</si>
  <si>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</si>
  <si>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</si>
  <si>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</si>
  <si>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</si>
  <si>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</si>
  <si>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</si>
  <si>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</si>
  <si>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</si>
  <si>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</si>
  <si>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</si>
  <si>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</si>
  <si>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</si>
  <si>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</si>
  <si>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</si>
  <si>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</si>
  <si>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</si>
  <si>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</si>
  <si>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</si>
  <si>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</si>
  <si>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</si>
  <si>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</si>
  <si>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</si>
  <si>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</si>
  <si>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</si>
  <si>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</si>
  <si>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</si>
  <si>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</si>
  <si>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</si>
  <si>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</si>
  <si>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</si>
  <si>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</si>
  <si>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</si>
  <si>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</si>
  <si>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</si>
  <si>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</si>
  <si>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</si>
  <si>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</si>
  <si>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</si>
  <si>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</si>
  <si>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</si>
  <si>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</si>
  <si>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</si>
  <si>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</si>
  <si>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</si>
  <si>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</si>
  <si>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</si>
  <si>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</si>
  <si>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</si>
  <si>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</si>
  <si>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</si>
  <si>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</si>
  <si>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</si>
  <si>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</si>
  <si>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</si>
  <si>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</si>
  <si>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</si>
  <si>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</si>
  <si>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</si>
  <si>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</si>
  <si>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</si>
  <si>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</si>
  <si>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</si>
  <si>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</si>
  <si>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</si>
  <si>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</si>
  <si>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</si>
  <si>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</si>
  <si>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</si>
  <si>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</si>
  <si>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</si>
  <si>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</si>
  <si>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</si>
  <si>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</si>
  <si>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</si>
  <si>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</si>
  <si>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</si>
  <si>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</si>
  <si>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</si>
  <si>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</si>
  <si>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</si>
  <si>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</si>
  <si>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</si>
  <si>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</si>
  <si>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</si>
  <si>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</si>
  <si>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</si>
  <si>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</si>
  <si>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</si>
  <si>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</si>
  <si>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</si>
  <si>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</si>
  <si>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</si>
  <si>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</si>
  <si>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</si>
  <si>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</si>
  <si>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</si>
  <si>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</si>
  <si>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</si>
  <si>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</si>
  <si>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</si>
  <si>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</si>
  <si>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</si>
  <si>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</si>
  <si>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</si>
  <si>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</si>
  <si>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</si>
  <si>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</si>
  <si>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</si>
  <si>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</si>
  <si>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</si>
  <si>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</si>
  <si>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</si>
  <si>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</si>
  <si>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</si>
  <si>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</si>
  <si>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</si>
  <si>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</si>
  <si>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</si>
  <si>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</si>
  <si>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</si>
  <si>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</si>
  <si>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</si>
  <si>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</si>
  <si>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</si>
  <si>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</si>
  <si>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</si>
  <si>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</si>
  <si>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</si>
  <si>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</si>
  <si>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</si>
  <si>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</si>
  <si>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</si>
  <si>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</si>
  <si>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</si>
  <si>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</si>
  <si>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</si>
  <si>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</si>
  <si>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</si>
  <si>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</si>
  <si>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</si>
  <si>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</si>
  <si>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</si>
  <si>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</si>
  <si>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</si>
  <si>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</si>
  <si>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</si>
  <si>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</si>
  <si>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</si>
  <si>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</si>
  <si>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</si>
  <si>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</si>
  <si>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</si>
  <si>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</si>
  <si>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</si>
  <si>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</si>
  <si>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</si>
  <si>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</si>
  <si>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</si>
  <si>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</si>
  <si>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</si>
  <si>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</si>
  <si>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</si>
  <si>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</si>
  <si>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</si>
  <si>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</si>
  <si>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</si>
  <si>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</si>
  <si>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</si>
  <si>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</si>
  <si>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</si>
  <si>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</si>
  <si>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</si>
  <si>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</si>
  <si>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</si>
  <si>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</si>
  <si>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</si>
  <si>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</si>
  <si>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</si>
  <si>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</si>
  <si>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</si>
  <si>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</si>
  <si>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</si>
  <si>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</si>
  <si>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</si>
  <si>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</si>
  <si>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</si>
  <si>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</si>
  <si>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</si>
  <si>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</si>
  <si>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</si>
  <si>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</si>
  <si>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</si>
  <si>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</si>
  <si>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</si>
  <si>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</si>
  <si>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</si>
  <si>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</si>
  <si>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</si>
  <si>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</si>
  <si>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</si>
  <si>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</si>
  <si>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</si>
  <si>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</si>
  <si>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</si>
  <si>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</si>
  <si>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</si>
  <si>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</si>
  <si>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</si>
  <si>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</si>
  <si>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</si>
  <si>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</si>
  <si>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</si>
  <si>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</si>
  <si>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</si>
  <si>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</si>
  <si>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</si>
  <si>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</si>
  <si>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</si>
  <si>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</si>
  <si>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</si>
  <si>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</si>
  <si>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</si>
  <si>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</si>
  <si>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</si>
  <si>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</si>
  <si>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</si>
  <si>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</si>
  <si>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</si>
  <si>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</si>
  <si>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</si>
  <si>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</si>
  <si>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</si>
  <si>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</si>
  <si>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</si>
  <si>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</si>
  <si>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</si>
  <si>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</si>
  <si>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</si>
  <si>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</si>
  <si>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</si>
  <si>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</si>
  <si>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</si>
  <si>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</si>
  <si>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</si>
  <si>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</si>
  <si>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</si>
  <si>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</si>
  <si>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</si>
  <si>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</si>
  <si>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</si>
  <si>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</si>
  <si>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</si>
  <si>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</si>
  <si>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</si>
  <si>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</si>
  <si>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</si>
  <si>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</si>
  <si>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</si>
  <si>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</si>
  <si>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</si>
  <si>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</si>
  <si>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</si>
  <si>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</si>
  <si>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</si>
  <si>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</si>
  <si>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</si>
  <si>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</si>
  <si>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</si>
  <si>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</si>
  <si>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</si>
  <si>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</si>
  <si>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</si>
  <si>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</si>
  <si>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</si>
  <si>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</si>
  <si>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</si>
  <si>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</si>
  <si>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</si>
  <si>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</si>
  <si>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</si>
  <si>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</si>
  <si>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</si>
  <si>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</si>
  <si>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</si>
  <si>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</si>
  <si>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</si>
  <si>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</si>
  <si>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</si>
  <si>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</si>
  <si>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</si>
  <si>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</si>
  <si>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</si>
  <si>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</si>
  <si>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</si>
  <si>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</si>
  <si>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</si>
  <si>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</si>
  <si>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</si>
  <si>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</si>
  <si>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</si>
  <si>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</si>
  <si>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</si>
  <si>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</si>
  <si>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</si>
  <si>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</si>
  <si>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</si>
  <si>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</si>
  <si>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</si>
  <si>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</si>
  <si>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</si>
  <si>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</si>
  <si>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</si>
  <si>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</si>
  <si>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</si>
  <si>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</si>
  <si>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</si>
  <si>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</si>
  <si>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</si>
  <si>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</si>
  <si>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</si>
  <si>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</si>
  <si>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</si>
  <si>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</si>
  <si>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</si>
  <si>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</si>
  <si>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</si>
  <si>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</si>
  <si>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</si>
  <si>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</si>
  <si>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</si>
  <si>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</si>
  <si>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</si>
  <si>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</si>
  <si>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</si>
  <si>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</si>
  <si>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</si>
  <si>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</si>
  <si>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</si>
  <si>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</si>
  <si>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</si>
  <si>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</si>
  <si>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</si>
  <si>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</si>
  <si>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</si>
  <si>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</si>
  <si>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</si>
  <si>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</si>
  <si>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</si>
  <si>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</si>
  <si>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</si>
  <si>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</si>
  <si>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</si>
  <si>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</si>
  <si>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</si>
  <si>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</si>
  <si>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</si>
  <si>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</si>
  <si>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</si>
  <si>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</si>
  <si>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</si>
  <si>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</si>
  <si>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</si>
  <si>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</si>
  <si>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</si>
  <si>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</si>
  <si>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</si>
  <si>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</si>
  <si>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</si>
  <si>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</si>
  <si>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</si>
  <si>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</si>
  <si>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</si>
  <si>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</si>
  <si>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</si>
  <si>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</si>
  <si>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</si>
  <si>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</si>
  <si>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</si>
  <si>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</si>
  <si>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</si>
  <si>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</si>
  <si>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</si>
  <si>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</si>
  <si>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</si>
  <si>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</si>
  <si>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</si>
  <si>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</si>
  <si>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</si>
  <si>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</si>
  <si>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</si>
  <si>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</si>
  <si>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</si>
  <si>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</si>
  <si>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</si>
  <si>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</si>
  <si>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</si>
  <si>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</si>
  <si>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</si>
  <si>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</si>
  <si>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</si>
  <si>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</si>
  <si>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</si>
  <si>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</si>
  <si>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</si>
  <si>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</si>
  <si>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</si>
  <si>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</si>
  <si>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</si>
  <si>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</si>
  <si>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</si>
  <si>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</si>
  <si>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</si>
  <si>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</si>
  <si>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</si>
  <si>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</si>
  <si>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</si>
  <si>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</si>
  <si>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</si>
  <si>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</si>
  <si>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</si>
  <si>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</si>
  <si>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</si>
  <si>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</si>
  <si>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</si>
  <si>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</si>
  <si>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</si>
  <si>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</si>
  <si>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</si>
  <si>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</si>
  <si>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</si>
  <si>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</si>
  <si>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</si>
  <si>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</si>
  <si>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</si>
  <si>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</si>
  <si>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</si>
  <si>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</si>
  <si>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</si>
  <si>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</si>
  <si>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</si>
  <si>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</si>
  <si>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</si>
  <si>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</si>
  <si>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</si>
  <si>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</si>
  <si>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</si>
  <si>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</si>
  <si>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</si>
  <si>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</si>
  <si>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</si>
  <si>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</si>
  <si>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</si>
  <si>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</si>
  <si>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</si>
  <si>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</si>
  <si>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</si>
  <si>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</si>
  <si>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</si>
  <si>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</si>
  <si>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</si>
  <si>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</si>
  <si>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</si>
  <si>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</si>
  <si>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</si>
  <si>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</si>
  <si>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</si>
  <si>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</si>
  <si>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</si>
  <si>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</si>
  <si>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</si>
  <si>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</si>
  <si>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</si>
  <si>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</si>
  <si>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</si>
  <si>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</si>
  <si>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</si>
  <si>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</si>
  <si>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</si>
  <si>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</si>
  <si>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</si>
  <si>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</si>
  <si>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</si>
  <si>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</si>
  <si>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</si>
  <si>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</si>
  <si>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</si>
  <si>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</si>
  <si>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</si>
  <si>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</si>
  <si>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</si>
  <si>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</si>
  <si>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</si>
  <si>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</si>
  <si>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</si>
  <si>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</si>
  <si>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</si>
  <si>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</si>
  <si>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</si>
  <si>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</si>
  <si>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</si>
  <si>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</si>
  <si>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</si>
  <si>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</si>
  <si>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</si>
  <si>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</si>
  <si>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</si>
  <si>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</si>
  <si>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</si>
  <si>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</si>
  <si>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</si>
  <si>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</si>
  <si>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</si>
  <si>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</si>
  <si>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</si>
  <si>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</si>
  <si>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</si>
  <si>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</si>
  <si>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</si>
  <si>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</si>
  <si>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</si>
  <si>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</si>
  <si>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</si>
  <si>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</si>
  <si>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</si>
  <si>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</si>
  <si>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</si>
  <si>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</si>
  <si>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</si>
  <si>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</si>
  <si>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</si>
  <si>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</si>
  <si>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</si>
  <si>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</si>
  <si>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</si>
  <si>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</si>
  <si>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</si>
  <si>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</si>
  <si>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</si>
  <si>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</si>
  <si>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</si>
  <si>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</si>
  <si>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</si>
  <si>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</si>
  <si>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</si>
  <si>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</si>
  <si>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</si>
  <si>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</si>
  <si>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</si>
  <si>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</si>
  <si>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</si>
  <si>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</si>
  <si>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</si>
  <si>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</si>
  <si>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</si>
  <si>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</si>
  <si>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</si>
  <si>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</si>
  <si>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</si>
  <si>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</si>
  <si>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</si>
  <si>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</si>
  <si>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</si>
  <si>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</si>
  <si>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</si>
  <si>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</si>
  <si>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</si>
  <si>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</si>
  <si>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</si>
  <si>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</si>
  <si>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</si>
  <si>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</si>
  <si>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</si>
  <si>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</si>
  <si>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</si>
  <si>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</si>
  <si>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</si>
  <si>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</si>
  <si>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</si>
  <si>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</si>
  <si>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</si>
  <si>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</si>
  <si>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</si>
  <si>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</si>
  <si>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</si>
  <si>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</si>
  <si>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</si>
  <si>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</si>
  <si>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</si>
  <si>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</si>
  <si>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</si>
  <si>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</si>
  <si>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</si>
  <si>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</si>
  <si>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</si>
  <si>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</si>
  <si>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</si>
  <si>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</si>
  <si>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</si>
  <si>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</si>
  <si>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</si>
  <si>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</si>
  <si>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</si>
  <si>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</si>
  <si>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</si>
  <si>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</si>
  <si>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</si>
  <si>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</si>
  <si>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</si>
  <si>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</si>
  <si>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</si>
  <si>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</si>
  <si>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</si>
  <si>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</si>
  <si>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</si>
  <si>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</si>
  <si>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</si>
  <si>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</si>
  <si>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</si>
  <si>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</si>
  <si>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</si>
  <si>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</si>
  <si>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</si>
  <si>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</si>
  <si>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</si>
  <si>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</si>
  <si>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</si>
  <si>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</si>
  <si>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</si>
  <si>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</si>
  <si>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</si>
  <si>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</si>
  <si>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</si>
  <si>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</si>
  <si>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</si>
  <si>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</si>
  <si>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</si>
  <si>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</si>
  <si>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</si>
  <si>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</si>
  <si>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</si>
  <si>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</si>
  <si>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</si>
  <si>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</si>
  <si>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</si>
  <si>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</si>
  <si>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</si>
  <si>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</si>
  <si>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</si>
  <si>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</si>
  <si>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</si>
  <si>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</si>
  <si>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</si>
  <si>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</si>
  <si>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</si>
  <si>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</si>
  <si>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</si>
  <si>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</si>
  <si>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</si>
  <si>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</si>
  <si>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</si>
  <si>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</si>
  <si>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</si>
  <si>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</si>
  <si>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</si>
  <si>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</si>
  <si>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</si>
  <si>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</si>
  <si>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</si>
  <si>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</si>
  <si>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</si>
  <si>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</si>
  <si>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</si>
  <si>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</si>
  <si>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</si>
  <si>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</si>
  <si>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</si>
  <si>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</si>
  <si>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</si>
  <si>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</si>
  <si>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</si>
  <si>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</si>
  <si>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</si>
  <si>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</si>
  <si>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</si>
  <si>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</si>
  <si>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</si>
  <si>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</si>
  <si>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</si>
  <si>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</si>
  <si>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</si>
  <si>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</si>
  <si>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</si>
  <si>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</si>
  <si>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</si>
  <si>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</si>
  <si>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</si>
  <si>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</si>
  <si>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</si>
  <si>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</si>
  <si>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</si>
  <si>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</si>
  <si>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</si>
  <si>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</si>
  <si>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</si>
  <si>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</si>
  <si>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</si>
  <si>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</si>
  <si>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</si>
  <si>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</si>
  <si>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</si>
  <si>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</si>
  <si>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</si>
  <si>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</si>
  <si>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</si>
  <si>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</si>
  <si>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</si>
  <si>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</si>
  <si>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</si>
  <si>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</si>
  <si>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</si>
  <si>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</si>
  <si>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</si>
  <si>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</si>
  <si>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</si>
  <si>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</si>
  <si>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</si>
  <si>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</si>
  <si>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</si>
  <si>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</si>
  <si>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</si>
  <si>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</si>
  <si>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</si>
  <si>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</si>
  <si>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</si>
  <si>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</si>
  <si>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</si>
  <si>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</si>
  <si>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</si>
  <si>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</si>
  <si>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</si>
  <si>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</si>
  <si>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</si>
  <si>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</si>
  <si>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</si>
  <si>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</si>
  <si>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</si>
  <si>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</si>
  <si>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</si>
  <si>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</si>
  <si>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</si>
  <si>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</si>
  <si>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</si>
  <si>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</si>
  <si>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</si>
  <si>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</si>
  <si>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</si>
  <si>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</si>
  <si>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</si>
  <si>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</si>
  <si>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</si>
  <si>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</si>
  <si>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</si>
  <si>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</si>
  <si>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</si>
  <si>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</si>
  <si>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</si>
  <si>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</si>
  <si>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</si>
  <si>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</si>
  <si>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</si>
  <si>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</si>
  <si>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</si>
  <si>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</si>
  <si>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</si>
  <si>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</si>
  <si>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</si>
  <si>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</si>
  <si>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</si>
  <si>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</si>
  <si>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</si>
  <si>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</si>
  <si>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</si>
  <si>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</si>
  <si>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</si>
  <si>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</si>
  <si>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</si>
  <si>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</si>
  <si>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</si>
  <si>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</si>
  <si>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</si>
  <si>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</si>
  <si>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</si>
  <si>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</si>
  <si>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</si>
  <si>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</si>
  <si>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</si>
  <si>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</si>
  <si>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</si>
  <si>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</si>
  <si>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</si>
  <si>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</si>
  <si>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</si>
  <si>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</si>
  <si>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</si>
  <si>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</si>
  <si>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</si>
  <si>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</si>
  <si>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</si>
  <si>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</si>
  <si>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</si>
  <si>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</si>
  <si>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</si>
  <si>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</si>
  <si>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</si>
  <si>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</si>
  <si>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</si>
  <si>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</si>
  <si>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</si>
  <si>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</si>
  <si>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</si>
  <si>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</si>
  <si>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</si>
  <si>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</si>
  <si>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</si>
  <si>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</si>
  <si>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</si>
  <si>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</si>
  <si>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</si>
  <si>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</si>
  <si>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</si>
  <si>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</si>
  <si>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</si>
  <si>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</si>
  <si>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</si>
  <si>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</si>
  <si>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</si>
  <si>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</si>
  <si>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</si>
  <si>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</si>
  <si>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</si>
  <si>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</si>
  <si>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</si>
  <si>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</si>
  <si>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</si>
  <si>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</si>
  <si>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</si>
  <si>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</si>
  <si>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</si>
  <si>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</si>
  <si>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</si>
  <si>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</si>
  <si>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</si>
  <si>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</si>
  <si>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</si>
  <si>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</si>
  <si>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</si>
  <si>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</si>
  <si>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</si>
  <si>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</si>
  <si>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</si>
  <si>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</si>
  <si>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</si>
  <si>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</si>
  <si>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</si>
  <si>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</si>
  <si>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</si>
  <si>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</si>
  <si>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</si>
  <si>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</si>
  <si>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</si>
  <si>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</si>
  <si>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</si>
  <si>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</si>
  <si>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</si>
  <si>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</si>
  <si>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</si>
  <si>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</si>
  <si>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</si>
  <si>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</si>
  <si>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</si>
  <si>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</si>
  <si>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</si>
  <si>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</si>
  <si>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</si>
  <si>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</si>
  <si>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</si>
  <si>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</si>
  <si>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</si>
  <si>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</si>
  <si>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</si>
  <si>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</si>
  <si>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</si>
  <si>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</si>
  <si>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</si>
  <si>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</si>
  <si>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</si>
  <si>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</si>
  <si>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</si>
  <si>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</si>
  <si>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</si>
  <si>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</si>
  <si>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</si>
  <si>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</si>
  <si>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</si>
  <si>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</si>
  <si>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</si>
  <si>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</si>
  <si>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</si>
  <si>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</si>
  <si>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</si>
  <si>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</si>
  <si>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</si>
  <si>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</si>
  <si>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</si>
  <si>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</si>
  <si>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</si>
  <si>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</si>
  <si>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</si>
  <si>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</si>
  <si>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</si>
  <si>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</si>
  <si>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</si>
  <si>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</si>
  <si>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</si>
  <si>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</si>
  <si>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</si>
  <si>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</si>
  <si>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</si>
  <si>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</si>
  <si>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</si>
  <si>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</si>
  <si>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</si>
  <si>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</si>
  <si>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</si>
  <si>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</si>
  <si>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</si>
  <si>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</si>
  <si>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</si>
  <si>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</si>
  <si>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</si>
  <si>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</si>
  <si>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</si>
  <si>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</si>
  <si>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</si>
  <si>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</si>
  <si>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</si>
  <si>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</si>
  <si>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</si>
  <si>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</si>
  <si>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</si>
  <si>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</si>
  <si>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</si>
  <si>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</si>
  <si>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</si>
  <si>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</si>
  <si>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</si>
  <si>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</si>
  <si>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</si>
  <si>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</si>
  <si>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</si>
  <si>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</si>
  <si>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</si>
  <si>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</si>
  <si>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</si>
  <si>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</si>
  <si>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</si>
  <si>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</si>
  <si>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</si>
  <si>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</si>
  <si>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</si>
  <si>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</si>
  <si>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</si>
  <si>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</si>
  <si>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</si>
  <si>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</si>
  <si>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</si>
  <si>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</si>
  <si>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</si>
  <si>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</si>
  <si>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</si>
  <si>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</si>
  <si>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</si>
  <si>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</si>
  <si>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</si>
  <si>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</si>
  <si>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</si>
  <si>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</si>
  <si>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</si>
  <si>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</si>
  <si>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</si>
  <si>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</si>
  <si>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</si>
  <si>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</si>
  <si>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</si>
  <si>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</si>
  <si>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</si>
  <si>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</si>
  <si>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</si>
  <si>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</si>
  <si>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</si>
  <si>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</si>
  <si>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</si>
  <si>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</si>
  <si>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</si>
  <si>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</si>
  <si>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</si>
  <si>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</si>
  <si>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</si>
  <si>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</si>
  <si>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</si>
  <si>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</si>
  <si>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</si>
  <si>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</si>
  <si>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</si>
  <si>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</si>
  <si>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</si>
  <si>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</si>
  <si>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</si>
  <si>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</si>
  <si>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</si>
  <si>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</si>
  <si>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</si>
  <si>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</si>
  <si>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</si>
  <si>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</si>
  <si>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</si>
  <si>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</si>
  <si>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</si>
  <si>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</si>
  <si>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</si>
  <si>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</si>
  <si>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</si>
  <si>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</si>
  <si>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</si>
  <si>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</si>
  <si>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</si>
  <si>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</si>
  <si>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</si>
  <si>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</si>
  <si>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</si>
  <si>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</si>
  <si>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</si>
  <si>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</si>
  <si>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</si>
  <si>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</si>
  <si>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</si>
  <si>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</si>
  <si>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</si>
  <si>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</si>
  <si>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</si>
  <si>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</si>
  <si>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</si>
  <si>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</si>
  <si>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</si>
  <si>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</si>
  <si>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</si>
  <si>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</si>
  <si>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</si>
  <si>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</si>
  <si>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</si>
  <si>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</si>
  <si>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</si>
  <si>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</si>
  <si>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</si>
  <si>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</si>
  <si>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</si>
  <si>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</si>
  <si>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</si>
  <si>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</si>
  <si>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</si>
  <si>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</si>
  <si>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</si>
  <si>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</si>
  <si>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</si>
  <si>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</si>
  <si>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</si>
  <si>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</si>
  <si>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</si>
  <si>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</si>
  <si>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</si>
  <si>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</si>
  <si>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</si>
  <si>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</si>
  <si>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</si>
  <si>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</si>
  <si>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</si>
  <si>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</si>
  <si>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</si>
  <si>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</si>
  <si>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</si>
  <si>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</si>
  <si>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</si>
  <si>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</si>
  <si>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</si>
  <si>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</si>
  <si>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</si>
  <si>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</si>
  <si>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</si>
  <si>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</si>
  <si>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</si>
  <si>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</si>
  <si>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</si>
  <si>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</si>
  <si>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</si>
  <si>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</si>
  <si>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</si>
  <si>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</si>
  <si>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</si>
  <si>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</si>
  <si>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</si>
  <si>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</si>
  <si>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</si>
  <si>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</si>
  <si>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</si>
  <si>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</si>
  <si>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</si>
  <si>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</si>
  <si>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</si>
  <si>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</si>
  <si>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</si>
  <si>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</si>
  <si>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</si>
  <si>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</si>
  <si>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</si>
  <si>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</si>
  <si>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</si>
  <si>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</si>
  <si>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</si>
  <si>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</si>
  <si>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</si>
  <si>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</si>
  <si>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</si>
  <si>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</si>
  <si>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</si>
  <si>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</si>
  <si>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</si>
  <si>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</si>
  <si>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</si>
  <si>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</si>
  <si>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</si>
  <si>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</si>
  <si>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</si>
  <si>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</si>
  <si>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</si>
  <si>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</si>
  <si>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</si>
  <si>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</si>
  <si>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</si>
  <si>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</si>
  <si>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</si>
  <si>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</si>
  <si>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</si>
  <si>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</si>
  <si>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</si>
  <si>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</si>
  <si>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</si>
  <si>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</si>
  <si>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</si>
  <si>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</si>
  <si>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</si>
  <si>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</si>
  <si>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</si>
  <si>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</si>
  <si>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</si>
  <si>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</si>
  <si>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</si>
  <si>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</si>
  <si>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</si>
  <si>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</si>
  <si>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</si>
  <si>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</si>
  <si>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</si>
  <si>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</si>
  <si>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</si>
  <si>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</si>
  <si>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</si>
  <si>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</si>
  <si>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</si>
  <si>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</si>
  <si>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</si>
  <si>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</si>
  <si>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</si>
  <si>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</si>
  <si>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</si>
  <si>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</si>
  <si>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</si>
  <si>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</si>
  <si>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</si>
  <si>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</si>
  <si>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</si>
  <si>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</si>
  <si>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</si>
  <si>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</si>
  <si>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</si>
  <si>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</si>
  <si>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</si>
  <si>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</si>
  <si>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</si>
  <si>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</si>
  <si>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</si>
  <si>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</si>
  <si>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</si>
  <si>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</si>
  <si>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</si>
  <si>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</si>
  <si>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</si>
  <si>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</si>
  <si>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</si>
  <si>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</si>
  <si>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</si>
  <si>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</si>
  <si>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</si>
  <si>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</si>
  <si>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</si>
  <si>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</si>
  <si>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</si>
  <si>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</si>
  <si>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</si>
  <si>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</si>
  <si>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</si>
  <si>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</si>
  <si>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</si>
  <si>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</si>
  <si>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</si>
  <si>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</si>
  <si>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</si>
  <si>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</si>
  <si>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</si>
  <si>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</si>
  <si>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</si>
  <si>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</si>
  <si>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</si>
  <si>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</si>
  <si>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</si>
  <si>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</si>
  <si>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</si>
  <si>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</si>
  <si>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</si>
  <si>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</si>
  <si>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</si>
  <si>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</si>
  <si>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</si>
  <si>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</si>
  <si>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</si>
  <si>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</si>
  <si>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</si>
  <si>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</si>
  <si>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</si>
  <si>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</si>
  <si>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</si>
  <si>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</si>
  <si>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</si>
  <si>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</si>
  <si>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</si>
  <si>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</si>
  <si>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</si>
  <si>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</si>
  <si>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</si>
  <si>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</si>
  <si>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</si>
  <si>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</si>
  <si>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</si>
  <si>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</si>
  <si>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</si>
  <si>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</si>
  <si>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</si>
  <si>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</si>
  <si>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</si>
  <si>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</si>
  <si>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</si>
  <si>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</si>
  <si>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</si>
  <si>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</si>
  <si>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</si>
  <si>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</si>
  <si>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</si>
  <si>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</si>
  <si>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</si>
  <si>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</si>
  <si>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</si>
  <si>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</si>
  <si>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</si>
  <si>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</si>
  <si>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</si>
  <si>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</si>
  <si>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</si>
  <si>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</si>
  <si>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</si>
  <si>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</si>
  <si>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</si>
  <si>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</si>
  <si>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</si>
  <si>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</si>
  <si>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</si>
  <si>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</si>
  <si>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</si>
  <si>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</si>
  <si>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</si>
  <si>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</si>
  <si>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</si>
  <si>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</si>
  <si>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</si>
  <si>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</si>
  <si>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</si>
  <si>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</si>
  <si>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</si>
  <si>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</si>
  <si>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</si>
  <si>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</si>
  <si>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</si>
  <si>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</si>
  <si>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</si>
  <si>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</si>
  <si>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</si>
  <si>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</si>
  <si>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</si>
  <si>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</si>
  <si>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</si>
  <si>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</si>
  <si>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</si>
  <si>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</si>
  <si>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</si>
  <si>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</si>
  <si>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</si>
  <si>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</si>
  <si>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</si>
  <si>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</si>
  <si>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</si>
  <si>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</si>
  <si>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</si>
  <si>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</si>
  <si>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</si>
  <si>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</si>
  <si>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</si>
  <si>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</si>
  <si>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</si>
  <si>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</si>
  <si>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</si>
  <si>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</si>
  <si>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</si>
  <si>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</si>
  <si>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</si>
  <si>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</si>
  <si>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</si>
  <si>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</si>
  <si>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</si>
  <si>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</si>
  <si>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</si>
  <si>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</si>
  <si>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</si>
  <si>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</si>
  <si>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</si>
  <si>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</si>
  <si>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</si>
  <si>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</si>
  <si>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</si>
  <si>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</si>
  <si>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</si>
  <si>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</si>
  <si>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</si>
  <si>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</si>
  <si>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</si>
  <si>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</si>
  <si>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</si>
  <si>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</si>
  <si>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</si>
  <si>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</si>
  <si>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</si>
  <si>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</si>
  <si>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</si>
  <si>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</si>
  <si>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</si>
  <si>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</si>
  <si>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</si>
  <si>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</si>
  <si>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</si>
  <si>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</si>
  <si>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</si>
  <si>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</si>
  <si>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</si>
  <si>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</si>
  <si>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</si>
  <si>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</si>
  <si>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</si>
  <si>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</si>
  <si>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</si>
  <si>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</si>
  <si>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</si>
  <si>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</si>
  <si>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</si>
  <si>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</si>
  <si>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</si>
  <si>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</si>
  <si>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</si>
  <si>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</si>
  <si>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</si>
  <si>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</si>
  <si>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</si>
  <si>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</si>
  <si>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</si>
  <si>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</si>
  <si>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</si>
  <si>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</si>
  <si>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</si>
  <si>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</si>
  <si>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</si>
  <si>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</si>
  <si>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</si>
  <si>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</si>
  <si>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</si>
  <si>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</si>
  <si>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</si>
  <si>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</si>
  <si>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</si>
  <si>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</si>
  <si>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</si>
  <si>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</si>
  <si>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</si>
  <si>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</si>
  <si>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</si>
  <si>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</si>
  <si>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</si>
  <si>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</si>
  <si>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</si>
  <si>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</si>
  <si>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</si>
  <si>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</si>
  <si>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</si>
  <si>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</si>
  <si>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</si>
  <si>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</si>
  <si>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</si>
  <si>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</si>
  <si>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</si>
  <si>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</si>
  <si>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</si>
  <si>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</si>
  <si>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</si>
  <si>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</si>
  <si>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</si>
  <si>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</si>
  <si>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</si>
  <si>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</si>
  <si>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</si>
  <si>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</si>
  <si>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</si>
  <si>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</si>
  <si>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</si>
  <si>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</si>
  <si>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</si>
  <si>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</si>
  <si>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</si>
  <si>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</si>
  <si>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</si>
  <si>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</si>
  <si>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</si>
  <si>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</si>
  <si>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</si>
  <si>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</si>
  <si>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</si>
  <si>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</si>
  <si>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</si>
  <si>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</si>
  <si>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</si>
  <si>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</si>
  <si>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</si>
  <si>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</si>
  <si>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</si>
  <si>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</si>
  <si>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</si>
  <si>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</si>
  <si>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</si>
  <si>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</si>
  <si>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</si>
  <si>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</si>
  <si>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</si>
  <si>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</si>
  <si>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</si>
  <si>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</si>
  <si>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</si>
  <si>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</si>
  <si>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</si>
  <si>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</si>
  <si>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</si>
  <si>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</si>
  <si>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</si>
  <si>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</si>
  <si>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</si>
  <si>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</si>
  <si>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</si>
  <si>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</si>
  <si>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</si>
  <si>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</si>
  <si>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</si>
  <si>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</si>
  <si>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</si>
  <si>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</si>
  <si>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</si>
  <si>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</si>
  <si>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</si>
  <si>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</si>
  <si>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</si>
  <si>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</si>
  <si>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</si>
  <si>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</si>
  <si>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</si>
  <si>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</si>
  <si>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</si>
  <si>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</si>
  <si>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</si>
  <si>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</si>
  <si>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</si>
  <si>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</si>
  <si>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</si>
  <si>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</si>
  <si>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</si>
  <si>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</si>
  <si>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</si>
  <si>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</si>
  <si>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</si>
  <si>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</si>
  <si>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</si>
  <si>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</si>
  <si>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</si>
  <si>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</si>
  <si>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</si>
  <si>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</si>
  <si>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</si>
  <si>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</si>
  <si>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</si>
  <si>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</si>
  <si>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</si>
  <si>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</si>
  <si>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</si>
  <si>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</si>
  <si>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</si>
  <si>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</si>
  <si>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</si>
  <si>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</si>
  <si>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</si>
  <si>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</si>
  <si>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</si>
  <si>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</si>
  <si>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</si>
  <si>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</si>
  <si>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</si>
  <si>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</si>
  <si>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</si>
  <si>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</si>
  <si>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</si>
  <si>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</si>
  <si>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</si>
  <si>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</si>
  <si>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</si>
  <si>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</si>
  <si>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</si>
  <si>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</si>
  <si>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</si>
  <si>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</si>
  <si>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</si>
  <si>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</si>
  <si>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</si>
  <si>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</si>
  <si>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</si>
  <si>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</si>
  <si>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</si>
  <si>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</si>
  <si>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</si>
  <si>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</si>
  <si>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</si>
  <si>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</si>
  <si>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</si>
  <si>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</si>
  <si>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</si>
  <si>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</si>
  <si>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</si>
  <si>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</si>
  <si>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</si>
  <si>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</si>
  <si>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</si>
  <si>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</si>
  <si>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</si>
  <si>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</si>
  <si>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</si>
  <si>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</si>
  <si>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</si>
  <si>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</si>
  <si>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</si>
  <si>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</si>
  <si>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</si>
  <si>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</si>
  <si>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</si>
  <si>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</si>
  <si>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</si>
  <si>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</si>
  <si>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</si>
  <si>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</si>
  <si>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</si>
  <si>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</si>
  <si>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</si>
  <si>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</si>
  <si>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</si>
  <si>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</si>
  <si>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</si>
  <si>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</si>
  <si>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</si>
  <si>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</si>
  <si>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</si>
  <si>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</si>
  <si>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</si>
  <si>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</si>
  <si>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</si>
  <si>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</si>
  <si>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Sum of Quantity</t>
  </si>
  <si>
    <t>Sum of Amount</t>
  </si>
  <si>
    <t>Count of TX ID</t>
  </si>
  <si>
    <t>Average of Rating C</t>
  </si>
  <si>
    <t>Average of Days to Deliver</t>
  </si>
  <si>
    <t>Values for Display</t>
  </si>
  <si>
    <t>Avg. Days</t>
  </si>
  <si>
    <t>Unknown</t>
  </si>
  <si>
    <t>Male</t>
  </si>
  <si>
    <t>Female</t>
  </si>
  <si>
    <t>Other</t>
  </si>
  <si>
    <t>Row Labels</t>
  </si>
  <si>
    <t>Grand Total</t>
  </si>
  <si>
    <t>Column Labels</t>
  </si>
  <si>
    <t>For Matrix</t>
  </si>
  <si>
    <t>1</t>
  </si>
  <si>
    <t>2</t>
  </si>
  <si>
    <t>3</t>
  </si>
  <si>
    <t>4</t>
  </si>
  <si>
    <t>5</t>
  </si>
  <si>
    <t>6 - 10</t>
  </si>
  <si>
    <t>Above 10</t>
  </si>
  <si>
    <t>Total</t>
  </si>
  <si>
    <t>Map Chart for Quantity</t>
  </si>
  <si>
    <t>Map Chart for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</si>
</sst>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quot;$&quot;#,##0"/>
    <numFmt numFmtId="166" formatCode="0.0%"/>
  </numFmts>
  <fonts count="5"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theme="1"/>
      <name val="Calibri"/>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4" fillId="0" borderId="1" xfId="0" applyFont="1" applyBorder="1"/>
    <xf numFmtId="166" fontId="4" fillId="0" borderId="1" xfId="0" applyNumberFormat="1" applyFont="1" applyBorder="1"/>
  </cellXfs>
  <cellStyles count="2">
    <cellStyle name="Hyperlink" xfId="1" builtinId="8"/>
    <cellStyle name="Normal" xfId="0" builtinId="0"/>
  </cellStyles>
  <dxfs count="20">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0" formatCode="General"/>
    </dxf>
    <dxf>
      <numFmt numFmtId="0" formatCode="General"/>
    </dxf>
    <dxf>
      <numFmt numFmtId="0" formatCode="General"/>
    </dxf>
    <dxf>
      <numFmt numFmtId="20" formatCode="d\-mmm\-yy"/>
    </dxf>
    <dxf>
      <numFmt numFmtId="20" formatCode="d\-mmm\-yy"/>
    </dxf>
    <dxf>
      <numFmt numFmtId="2" formatCode="0.00"/>
    </dxf>
    <dxf>
      <numFmt numFmtId="164"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[Viva.xlsx]Pivots!PivotTrend</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Last</a:t>
            </a:r>
            <a:r>
              <a:rPr lang="en-US" b="1" baseline="0"/>
              <a:t> 13 Week Trend - Qty&amp;Amount</a:t>
            </a:r>
            <a:endParaRPr lang="en-US" b="1"/>
          </a:p>
        </c:rich>
      </c:tx>
      <c:layout>
        <c:manualLayout>
          <c:xMode val="edge"/>
          <c:yMode val="edge"/>
          <c:x val="0.10811594202898549"/>
          <c:y val="2.97029749283503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9.4992497917721894E-2"/>
          <c:y val="0.1835450186309015"/>
          <c:w val="0.82075169320637009"/>
          <c:h val="0.71454181151093166"/>
        </c:manualLayout>
      </c:layout>
      <c:lineChart>
        <c:grouping val="stacked"/>
        <c:varyColors val="0"/>
        <c:ser>
          <c:idx val="0"/>
          <c:order val="0"/>
          <c:tx>
            <c:strRef>
              <c:f>Pivots!$B$9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255</c:v>
                </c:pt>
                <c:pt idx="1">
                  <c:v>579</c:v>
                </c:pt>
                <c:pt idx="2">
                  <c:v>418</c:v>
                </c:pt>
                <c:pt idx="3">
                  <c:v>519</c:v>
                </c:pt>
                <c:pt idx="4">
                  <c:v>554</c:v>
                </c:pt>
                <c:pt idx="5">
                  <c:v>752</c:v>
                </c:pt>
                <c:pt idx="6">
                  <c:v>524</c:v>
                </c:pt>
                <c:pt idx="7">
                  <c:v>476</c:v>
                </c:pt>
                <c:pt idx="8">
                  <c:v>447</c:v>
                </c:pt>
                <c:pt idx="9">
                  <c:v>512</c:v>
                </c:pt>
                <c:pt idx="10">
                  <c:v>408</c:v>
                </c:pt>
                <c:pt idx="11">
                  <c:v>438</c:v>
                </c:pt>
                <c:pt idx="12">
                  <c:v>390</c:v>
                </c:pt>
              </c:numCache>
            </c:numRef>
          </c:val>
          <c:smooth val="0"/>
        </c:ser>
        <c:dLbls>
          <c:showLegendKey val="0"/>
          <c:showVal val="0"/>
          <c:showCatName val="0"/>
          <c:showSerName val="0"/>
          <c:showPercent val="0"/>
          <c:showBubbleSize val="0"/>
        </c:dLbls>
        <c:marker val="1"/>
        <c:smooth val="0"/>
        <c:axId val="235364064"/>
        <c:axId val="288046248"/>
      </c:lineChart>
      <c:lineChart>
        <c:grouping val="stacked"/>
        <c:varyColors val="0"/>
        <c:ser>
          <c:idx val="1"/>
          <c:order val="1"/>
          <c:tx>
            <c:strRef>
              <c:f>Pivots!$C$9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"$"#,##0</c:formatCode>
                <c:ptCount val="13"/>
                <c:pt idx="0">
                  <c:v>14348.100000000004</c:v>
                </c:pt>
                <c:pt idx="1">
                  <c:v>34600.700000000004</c:v>
                </c:pt>
                <c:pt idx="2">
                  <c:v>23116.600000000006</c:v>
                </c:pt>
                <c:pt idx="3">
                  <c:v>28395.600000000002</c:v>
                </c:pt>
                <c:pt idx="4">
                  <c:v>27762.900000000009</c:v>
                </c:pt>
                <c:pt idx="5">
                  <c:v>39327.399999999987</c:v>
                </c:pt>
                <c:pt idx="6">
                  <c:v>26745.500000000007</c:v>
                </c:pt>
                <c:pt idx="7">
                  <c:v>26192.3</c:v>
                </c:pt>
                <c:pt idx="8">
                  <c:v>22350.1</c:v>
                </c:pt>
                <c:pt idx="9">
                  <c:v>29112.5</c:v>
                </c:pt>
                <c:pt idx="10">
                  <c:v>22844.400000000016</c:v>
                </c:pt>
                <c:pt idx="11">
                  <c:v>24050.999999999989</c:v>
                </c:pt>
                <c:pt idx="12">
                  <c:v>21860.499999999996</c:v>
                </c:pt>
              </c:numCache>
            </c:numRef>
          </c:val>
          <c:smooth val="0"/>
        </c:ser>
        <c:dLbls>
          <c:showLegendKey val="0"/>
          <c:showVal val="0"/>
          <c:showCatName val="0"/>
          <c:showSerName val="0"/>
          <c:showPercent val="0"/>
          <c:showBubbleSize val="0"/>
        </c:dLbls>
        <c:marker val="1"/>
        <c:smooth val="0"/>
        <c:axId val="236401216"/>
        <c:axId val="287455232"/>
      </c:lineChart>
      <c:catAx>
        <c:axId val="2353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46248"/>
        <c:crosses val="autoZero"/>
        <c:auto val="1"/>
        <c:lblAlgn val="ctr"/>
        <c:lblOffset val="100"/>
        <c:noMultiLvlLbl val="0"/>
      </c:catAx>
      <c:valAx>
        <c:axId val="28804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4064"/>
        <c:crosses val="autoZero"/>
        <c:crossBetween val="between"/>
      </c:valAx>
      <c:valAx>
        <c:axId val="287455232"/>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401216"/>
        <c:crosses val="max"/>
        <c:crossBetween val="between"/>
      </c:valAx>
      <c:catAx>
        <c:axId val="236401216"/>
        <c:scaling>
          <c:orientation val="minMax"/>
        </c:scaling>
        <c:delete val="1"/>
        <c:axPos val="b"/>
        <c:numFmt formatCode="General" sourceLinked="1"/>
        <c:majorTickMark val="out"/>
        <c:minorTickMark val="none"/>
        <c:tickLblPos val="nextTo"/>
        <c:crossAx val="28745523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[Viva.xlsx]Pivots!PivotQty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Pivots!$B$27</c:f>
              <c:strCache>
                <c:ptCount val="1"/>
                <c:pt idx="0">
                  <c:v>Total</c:v>
                </c:pt>
              </c:strCache>
            </c:strRef>
          </c:tx>
          <c:spPr>
            <a:solidFill>
              <a:schemeClr val="accent1"/>
            </a:solidFill>
            <a:ln>
              <a:noFill/>
            </a:ln>
            <a:effectLst/>
          </c:spPr>
          <c:invertIfNegative val="0"/>
          <c:cat>
            <c:strRef>
              <c:f>Pivots!$A$28:$A$35</c:f>
              <c:strCache>
                <c:ptCount val="7"/>
                <c:pt idx="0">
                  <c:v>1</c:v>
                </c:pt>
                <c:pt idx="1">
                  <c:v>2</c:v>
                </c:pt>
                <c:pt idx="2">
                  <c:v>3</c:v>
                </c:pt>
                <c:pt idx="3">
                  <c:v>4</c:v>
                </c:pt>
                <c:pt idx="4">
                  <c:v>5</c:v>
                </c:pt>
                <c:pt idx="5">
                  <c:v>6 - 10</c:v>
                </c:pt>
                <c:pt idx="6">
                  <c:v>Above 10</c:v>
                </c:pt>
              </c:strCache>
            </c:strRef>
          </c:cat>
          <c:val>
            <c:numRef>
              <c:f>Pivots!$B$28:$B$35</c:f>
              <c:numCache>
                <c:formatCode>General</c:formatCode>
                <c:ptCount val="7"/>
                <c:pt idx="0">
                  <c:v>199</c:v>
                </c:pt>
                <c:pt idx="1">
                  <c:v>260</c:v>
                </c:pt>
                <c:pt idx="2">
                  <c:v>196</c:v>
                </c:pt>
                <c:pt idx="3">
                  <c:v>124</c:v>
                </c:pt>
                <c:pt idx="4">
                  <c:v>100</c:v>
                </c:pt>
                <c:pt idx="5">
                  <c:v>231</c:v>
                </c:pt>
                <c:pt idx="6">
                  <c:v>121</c:v>
                </c:pt>
              </c:numCache>
            </c:numRef>
          </c:val>
        </c:ser>
        <c:dLbls>
          <c:showLegendKey val="0"/>
          <c:showVal val="0"/>
          <c:showCatName val="0"/>
          <c:showSerName val="0"/>
          <c:showPercent val="0"/>
          <c:showBubbleSize val="0"/>
        </c:dLbls>
        <c:gapWidth val="116"/>
        <c:overlap val="-27"/>
        <c:axId val="294355376"/>
        <c:axId val="294355760"/>
      </c:barChart>
      <c:catAx>
        <c:axId val="29435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55760"/>
        <c:crosses val="autoZero"/>
        <c:auto val="1"/>
        <c:lblAlgn val="ctr"/>
        <c:lblOffset val="100"/>
        <c:noMultiLvlLbl val="0"/>
      </c:catAx>
      <c:valAx>
        <c:axId val="29435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55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[Viva.xlsx]Pivots!PivotProduct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Which Products are Popular?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Pivots!$B$39:$B$40</c:f>
              <c:strCache>
                <c:ptCount val="1"/>
                <c:pt idx="0">
                  <c:v>Female</c:v>
                </c:pt>
              </c:strCache>
            </c:strRef>
          </c:tx>
          <c:spPr>
            <a:solidFill>
              <a:schemeClr val="accent1"/>
            </a:solidFill>
            <a:ln>
              <a:noFill/>
            </a:ln>
            <a:effectLst/>
          </c:spPr>
          <c:invertIfNegative val="0"/>
          <c:cat>
            <c:strRef>
              <c:f>Pivots!$A$41:$A$61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Pivots!$B$41:$B$61</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ser>
        <c:ser>
          <c:idx val="1"/>
          <c:order val="1"/>
          <c:tx>
            <c:strRef>
              <c:f>Pivots!$C$39:$C$40</c:f>
              <c:strCache>
                <c:ptCount val="1"/>
                <c:pt idx="0">
                  <c:v>Male</c:v>
                </c:pt>
              </c:strCache>
            </c:strRef>
          </c:tx>
          <c:spPr>
            <a:solidFill>
              <a:schemeClr val="accent2"/>
            </a:solidFill>
            <a:ln>
              <a:noFill/>
            </a:ln>
            <a:effectLst/>
          </c:spPr>
          <c:invertIfNegative val="0"/>
          <c:cat>
            <c:strRef>
              <c:f>Pivots!$A$41:$A$61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Pivots!$C$41:$C$61</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ser>
        <c:ser>
          <c:idx val="2"/>
          <c:order val="2"/>
          <c:tx>
            <c:strRef>
              <c:f>Pivots!$D$39:$D$40</c:f>
              <c:strCache>
                <c:ptCount val="1"/>
                <c:pt idx="0">
                  <c:v>Other</c:v>
                </c:pt>
              </c:strCache>
            </c:strRef>
          </c:tx>
          <c:spPr>
            <a:solidFill>
              <a:schemeClr val="accent3"/>
            </a:solidFill>
            <a:ln>
              <a:noFill/>
            </a:ln>
            <a:effectLst/>
          </c:spPr>
          <c:invertIfNegative val="0"/>
          <c:cat>
            <c:strRef>
              <c:f>Pivots!$A$41:$A$61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Pivots!$D$41:$D$61</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ser>
        <c:ser>
          <c:idx val="3"/>
          <c:order val="3"/>
          <c:tx>
            <c:strRef>
              <c:f>Pivots!$E$39:$E$40</c:f>
              <c:strCache>
                <c:ptCount val="1"/>
                <c:pt idx="0">
                  <c:v>Unknown</c:v>
                </c:pt>
              </c:strCache>
            </c:strRef>
          </c:tx>
          <c:spPr>
            <a:solidFill>
              <a:schemeClr val="accent4"/>
            </a:solidFill>
            <a:ln>
              <a:noFill/>
            </a:ln>
            <a:effectLst/>
          </c:spPr>
          <c:invertIfNegative val="0"/>
          <c:cat>
            <c:strRef>
              <c:f>Pivots!$A$41:$A$61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Pivots!$E$41:$E$61</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ser>
        <c:dLbls>
          <c:showLegendKey val="0"/>
          <c:showVal val="0"/>
          <c:showCatName val="0"/>
          <c:showSerName val="0"/>
          <c:showPercent val="0"/>
          <c:showBubbleSize val="0"/>
        </c:dLbls>
        <c:gapWidth val="40"/>
        <c:overlap val="100"/>
        <c:axId val="287973336"/>
        <c:axId val="287973720"/>
      </c:barChart>
      <c:catAx>
        <c:axId val="28797333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73720"/>
        <c:crosses val="autoZero"/>
        <c:auto val="1"/>
        <c:lblAlgn val="ctr"/>
        <c:lblOffset val="100"/>
        <c:noMultiLvlLbl val="0"/>
      </c:catAx>
      <c:valAx>
        <c:axId val="2879737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73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[Viva.xlsx]Pivots!PivotTable6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34067451163565E-2"/>
              <c:y val="0.354278384861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414629007187246"/>
                  <c:h val="0.23172401209665378"/>
                </c:manualLayout>
              </c15:layout>
            </c:ext>
          </c:extLst>
        </c:dLbl>
      </c:pivotFmt>
      <c:pivotFmt>
        <c:idx val="2"/>
        <c:spPr>
          <a:solidFill>
            <a:schemeClr val="accent4"/>
          </a:solidFill>
          <a:ln w="19050">
            <a:solidFill>
              <a:schemeClr val="lt1"/>
            </a:solidFill>
          </a:ln>
          <a:effectLst/>
        </c:spPr>
        <c:dLbl>
          <c:idx val="0"/>
          <c:layout>
            <c:manualLayout>
              <c:x val="0.2538702691050683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291530266032084"/>
                  <c:h val="0.19852289512555391"/>
                </c:manualLayout>
              </c15:layout>
            </c:ext>
          </c:extLst>
        </c:dLbl>
      </c:pivotFmt>
      <c:pivotFmt>
        <c:idx val="3"/>
        <c:spPr>
          <a:solidFill>
            <a:schemeClr val="accent3"/>
          </a:solidFill>
          <a:ln w="19050">
            <a:solidFill>
              <a:schemeClr val="lt1"/>
            </a:solidFill>
          </a:ln>
          <a:effectLst/>
        </c:spPr>
        <c:dLbl>
          <c:idx val="0"/>
          <c:layout>
            <c:manualLayout>
              <c:x val="-0.2376657957303923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4712644497595717"/>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34067451163565E-2"/>
              <c:y val="0.354278384861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414629007187246"/>
                  <c:h val="0.23172401209665378"/>
                </c:manualLayout>
              </c15:layout>
            </c:ext>
          </c:extLst>
        </c:dLbl>
      </c:pivotFmt>
      <c:pivotFmt>
        <c:idx val="7"/>
        <c:spPr>
          <a:solidFill>
            <a:schemeClr val="accent1"/>
          </a:solidFill>
          <a:ln w="19050">
            <a:solidFill>
              <a:schemeClr val="lt1"/>
            </a:solidFill>
          </a:ln>
          <a:effectLst/>
        </c:spPr>
        <c:dLbl>
          <c:idx val="0"/>
          <c:layout>
            <c:manualLayout>
              <c:x val="-0.14712644497595717"/>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6657957303923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38702691050683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291530266032084"/>
                  <c:h val="0.19852289512555391"/>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9883974797510042E-2"/>
              <c:y val="0.36177843447120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590305402825992"/>
                  <c:h val="0.23172419820803009"/>
                </c:manualLayout>
              </c15:layout>
            </c:ext>
          </c:extLst>
        </c:dLbl>
      </c:pivotFmt>
      <c:pivotFmt>
        <c:idx val="12"/>
        <c:spPr>
          <a:solidFill>
            <a:schemeClr val="accent1"/>
          </a:solidFill>
          <a:ln w="19050">
            <a:solidFill>
              <a:schemeClr val="lt1"/>
            </a:solidFill>
          </a:ln>
          <a:effectLst/>
        </c:spPr>
        <c:dLbl>
          <c:idx val="0"/>
          <c:layout>
            <c:manualLayout>
              <c:x val="-0.14712644497595717"/>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dLbl>
          <c:idx val="0"/>
          <c:layout>
            <c:manualLayout>
              <c:x val="-0.1840344919407284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229060565366849"/>
                  <c:h val="0.25200019842535309"/>
                </c:manualLayout>
              </c15:layout>
            </c:ext>
          </c:extLst>
        </c:dLbl>
      </c:pivotFmt>
      <c:pivotFmt>
        <c:idx val="14"/>
        <c:spPr>
          <a:solidFill>
            <a:schemeClr val="accent1"/>
          </a:solidFill>
          <a:ln w="19050">
            <a:solidFill>
              <a:schemeClr val="lt1"/>
            </a:solidFill>
          </a:ln>
          <a:effectLst/>
        </c:spPr>
        <c:dLbl>
          <c:idx val="0"/>
          <c:layout>
            <c:manualLayout>
              <c:x val="0.27398194588607927"/>
              <c:y val="-9.5864889770211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973072440266548"/>
                  <c:h val="0.19852279411243628"/>
                </c:manualLayout>
              </c15:layout>
            </c:ext>
          </c:extLst>
        </c:dLbl>
      </c:pivotFmt>
    </c:pivotFmts>
    <c:plotArea>
      <c:layout/>
      <c:doughnutChart>
        <c:varyColors val="1"/>
        <c:ser>
          <c:idx val="0"/>
          <c:order val="0"/>
          <c:tx>
            <c:strRef>
              <c:f>Pivots!$I$39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4.9883974797510042E-2"/>
                  <c:y val="0.36177843447120822"/>
                </c:manualLayout>
              </c:layout>
              <c:showLegendKey val="0"/>
              <c:showVal val="0"/>
              <c:showCatName val="1"/>
              <c:showSerName val="0"/>
              <c:showPercent val="1"/>
              <c:showBubbleSize val="0"/>
              <c:extLst>
                <c:ext xmlns:c15="http://schemas.microsoft.com/office/drawing/2012/chart" uri="{CE6537A1-D6FC-4f65-9D91-7224C49458BB}">
                  <c15:layout>
                    <c:manualLayout>
                      <c:w val="0.26590305402825992"/>
                      <c:h val="0.23172419820803009"/>
                    </c:manualLayout>
                  </c15:layout>
                </c:ext>
              </c:extLst>
            </c:dLbl>
            <c:dLbl>
              <c:idx val="1"/>
              <c:layout>
                <c:manualLayout>
                  <c:x val="-0.14712644497595717"/>
                  <c:y val="0.1111111111111111"/>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0.18403449194072841"/>
                  <c:y val="-0.1111111111111111"/>
                </c:manualLayout>
              </c:layout>
              <c:showLegendKey val="0"/>
              <c:showVal val="0"/>
              <c:showCatName val="1"/>
              <c:showSerName val="0"/>
              <c:showPercent val="1"/>
              <c:showBubbleSize val="0"/>
              <c:extLst>
                <c:ext xmlns:c15="http://schemas.microsoft.com/office/drawing/2012/chart" uri="{CE6537A1-D6FC-4f65-9D91-7224C49458BB}">
                  <c15:layout>
                    <c:manualLayout>
                      <c:w val="0.29229060565366849"/>
                      <c:h val="0.25200019842535309"/>
                    </c:manualLayout>
                  </c15:layout>
                </c:ext>
              </c:extLst>
            </c:dLbl>
            <c:dLbl>
              <c:idx val="3"/>
              <c:layout>
                <c:manualLayout>
                  <c:x val="0.27398194588607927"/>
                  <c:y val="-9.5864889770211778E-2"/>
                </c:manualLayout>
              </c:layout>
              <c:showLegendKey val="0"/>
              <c:showVal val="0"/>
              <c:showCatName val="1"/>
              <c:showSerName val="0"/>
              <c:showPercent val="1"/>
              <c:showBubbleSize val="0"/>
              <c:extLst>
                <c:ext xmlns:c15="http://schemas.microsoft.com/office/drawing/2012/chart" uri="{CE6537A1-D6FC-4f65-9D91-7224C49458BB}">
                  <c15:layout>
                    <c:manualLayout>
                      <c:w val="0.31973072440266548"/>
                      <c:h val="0.1985227941124362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Pivots!$H$40:$H$44</c:f>
              <c:strCache>
                <c:ptCount val="4"/>
                <c:pt idx="0">
                  <c:v>Female</c:v>
                </c:pt>
                <c:pt idx="1">
                  <c:v>Male</c:v>
                </c:pt>
                <c:pt idx="2">
                  <c:v>Other</c:v>
                </c:pt>
                <c:pt idx="3">
                  <c:v>Unknown</c:v>
                </c:pt>
              </c:strCache>
            </c:strRef>
          </c:cat>
          <c:val>
            <c:numRef>
              <c:f>Pivots!$I$40:$I$44</c:f>
              <c:numCache>
                <c:formatCode>General</c:formatCode>
                <c:ptCount val="4"/>
                <c:pt idx="0">
                  <c:v>6272</c:v>
                </c:pt>
                <c:pt idx="1">
                  <c:v>4672</c:v>
                </c:pt>
                <c:pt idx="2">
                  <c:v>317</c:v>
                </c:pt>
                <c:pt idx="3">
                  <c:v>736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Top 5</a:t>
            </a:r>
            <a:r>
              <a:rPr lang="en-US" b="1" baseline="0"/>
              <a:t> Selling </a:t>
            </a:r>
            <a:r>
              <a:rPr lang="en-US" b="1"/>
              <a:t>County By Quantity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Pivots!$I$64</c:f>
              <c:strCache>
                <c:ptCount val="1"/>
                <c:pt idx="0">
                  <c:v>Sum of Quantity</c:v>
                </c:pt>
              </c:strCache>
            </c:strRef>
          </c:tx>
          <c:spPr>
            <a:solidFill>
              <a:schemeClr val="accent1"/>
            </a:solidFill>
            <a:ln>
              <a:noFill/>
            </a:ln>
            <a:effectLst/>
          </c:spPr>
          <c:cat>
            <c:strRef>
              <c:extLst>
                <c:ext xmlns:c15="http://schemas.microsoft.com/office/drawing/2012/chart" uri="{02D57815-91ED-43cb-92C2-25804820EDAC}">
                  <c15:fullRef>
                    <c15:sqref>Pivots!$G$65:$H$69</c15:sqref>
                  </c15:fullRef>
                  <c15:levelRef>
                    <c15:sqref>Pivots!$H$65:$H$69</c15:sqref>
                  </c15:levelRef>
                </c:ext>
              </c:extLst>
              <c:f>Pivots!$H$65:$H$69</c:f>
              <c:strCache>
                <c:ptCount val="5"/>
                <c:pt idx="0">
                  <c:v>Los Angeles County</c:v>
                </c:pt>
                <c:pt idx="1">
                  <c:v>San Diego County</c:v>
                </c:pt>
                <c:pt idx="2">
                  <c:v>Santa Clara County</c:v>
                </c:pt>
                <c:pt idx="3">
                  <c:v>Sacramento County</c:v>
                </c:pt>
                <c:pt idx="4">
                  <c:v>Alameda County</c:v>
                </c:pt>
              </c:strCache>
            </c:strRef>
          </c:cat>
          <c:val>
            <c:numRef>
              <c:f>Pivots!$I$65:$I$69</c:f>
              <c:numCache>
                <c:formatCode>General</c:formatCode>
                <c:ptCount val="5"/>
                <c:pt idx="0">
                  <c:v>2076</c:v>
                </c:pt>
                <c:pt idx="1">
                  <c:v>899</c:v>
                </c:pt>
                <c:pt idx="2">
                  <c:v>393</c:v>
                </c:pt>
                <c:pt idx="3">
                  <c:v>347</c:v>
                </c:pt>
                <c:pt idx="4">
                  <c:v>331</c:v>
                </c:pt>
              </c:numCache>
            </c:numRef>
          </c:val>
        </c:ser>
        <c:dLbls>
          <c:showLegendKey val="0"/>
          <c:showVal val="0"/>
          <c:showCatName val="0"/>
          <c:showSerName val="0"/>
          <c:showPercent val="0"/>
          <c:showBubbleSize val="0"/>
        </c:dLbls>
        <c:axId val="294373632"/>
        <c:axId val="294370496"/>
      </c:areaChart>
      <c:catAx>
        <c:axId val="29437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70496"/>
        <c:crosses val="autoZero"/>
        <c:auto val="1"/>
        <c:lblAlgn val="ctr"/>
        <c:lblOffset val="100"/>
        <c:noMultiLvlLbl val="0"/>
      </c:catAx>
      <c:valAx>
        <c:axId val="2943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7363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Selling County By </a:t>
            </a:r>
            <a:r>
              <a:rPr lang="en-US" b="1"/>
              <a:t>Amount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Pivots!$M$64</c:f>
              <c:strCache>
                <c:ptCount val="1"/>
                <c:pt idx="0">
                  <c:v>Sum of 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extLst>
                <c:ext xmlns:c15="http://schemas.microsoft.com/office/drawing/2012/chart" uri="{02D57815-91ED-43cb-92C2-25804820EDAC}">
                  <c15:fullRef>
                    <c15:sqref>Pivots!$K$65:$L$69</c15:sqref>
                  </c15:fullRef>
                  <c15:levelRef>
                    <c15:sqref>Pivots!$L$65:$L$69</c15:sqref>
                  </c15:levelRef>
                </c:ext>
              </c:extLst>
              <c:f>Pivots!$L$65:$L$69</c:f>
              <c:strCache>
                <c:ptCount val="5"/>
                <c:pt idx="0">
                  <c:v>Los Angeles County</c:v>
                </c:pt>
                <c:pt idx="1">
                  <c:v>San Diego County</c:v>
                </c:pt>
                <c:pt idx="2">
                  <c:v>Santa Clara County</c:v>
                </c:pt>
                <c:pt idx="3">
                  <c:v>Sacramento County</c:v>
                </c:pt>
                <c:pt idx="4">
                  <c:v>Alameda County</c:v>
                </c:pt>
              </c:strCache>
            </c:strRef>
          </c:cat>
          <c:val>
            <c:numRef>
              <c:f>Pivots!$M$65:$M$69</c:f>
              <c:numCache>
                <c:formatCode>General</c:formatCode>
                <c:ptCount val="5"/>
                <c:pt idx="0">
                  <c:v>113664.09999999996</c:v>
                </c:pt>
                <c:pt idx="1">
                  <c:v>48721.200000000033</c:v>
                </c:pt>
                <c:pt idx="2">
                  <c:v>19495.600000000002</c:v>
                </c:pt>
                <c:pt idx="3">
                  <c:v>19303.900000000001</c:v>
                </c:pt>
                <c:pt idx="4">
                  <c:v>16875.7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[Viva.xlsx]Pivots!PivotSatisfaction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a:t>
            </a:r>
            <a:r>
              <a:rPr lang="en-US" b="1" baseline="0"/>
              <a:t>w Satisfied are our customers?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Pivots!$B$144</c:f>
              <c:strCache>
                <c:ptCount val="1"/>
                <c:pt idx="0">
                  <c:v>Total</c:v>
                </c:pt>
              </c:strCache>
            </c:strRef>
          </c:tx>
          <c:spPr>
            <a:solidFill>
              <a:schemeClr val="accent1"/>
            </a:solidFill>
            <a:ln>
              <a:noFill/>
            </a:ln>
            <a:effectLst/>
          </c:spPr>
          <c:invertIfNegative val="0"/>
          <c:cat>
            <c:strRef>
              <c:f>Pivots!$A$145:$A$150</c:f>
              <c:strCache>
                <c:ptCount val="5"/>
                <c:pt idx="0">
                  <c:v>1</c:v>
                </c:pt>
                <c:pt idx="1">
                  <c:v>2</c:v>
                </c:pt>
                <c:pt idx="2">
                  <c:v>3</c:v>
                </c:pt>
                <c:pt idx="3">
                  <c:v>4</c:v>
                </c:pt>
                <c:pt idx="4">
                  <c:v>5</c:v>
                </c:pt>
              </c:strCache>
            </c:strRef>
          </c:cat>
          <c:val>
            <c:numRef>
              <c:f>Pivots!$B$145:$B$150</c:f>
              <c:numCache>
                <c:formatCode>General</c:formatCode>
                <c:ptCount val="5"/>
                <c:pt idx="0">
                  <c:v>15</c:v>
                </c:pt>
                <c:pt idx="1">
                  <c:v>62</c:v>
                </c:pt>
                <c:pt idx="2">
                  <c:v>247</c:v>
                </c:pt>
                <c:pt idx="3">
                  <c:v>546</c:v>
                </c:pt>
                <c:pt idx="4">
                  <c:v>361</c:v>
                </c:pt>
              </c:numCache>
            </c:numRef>
          </c:val>
        </c:ser>
        <c:dLbls>
          <c:showLegendKey val="0"/>
          <c:showVal val="0"/>
          <c:showCatName val="0"/>
          <c:showSerName val="0"/>
          <c:showPercent val="0"/>
          <c:showBubbleSize val="0"/>
        </c:dLbls>
        <c:gapWidth val="219"/>
        <c:overlap val="-27"/>
        <c:axId val="294368928"/>
        <c:axId val="294370888"/>
      </c:barChart>
      <c:catAx>
        <c:axId val="29436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70888"/>
        <c:crosses val="autoZero"/>
        <c:auto val="1"/>
        <c:lblAlgn val="ctr"/>
        <c:lblOffset val="100"/>
        <c:noMultiLvlLbl val="0"/>
      </c:catAx>
      <c:valAx>
        <c:axId val="294370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68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[Viva.xlsx]Pivots!PivotWeeks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a:p>
            <a:pPr>
              <a:defRPr/>
            </a:pP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Pivots!$B$125</c:f>
              <c:strCache>
                <c:ptCount val="1"/>
                <c:pt idx="0">
                  <c:v>Total</c:v>
                </c:pt>
              </c:strCache>
            </c:strRef>
          </c:tx>
          <c:spPr>
            <a:solidFill>
              <a:schemeClr val="accent1"/>
            </a:solidFill>
            <a:ln>
              <a:noFill/>
            </a:ln>
            <a:effectLst/>
          </c:spPr>
          <c:invertIfNegative val="0"/>
          <c:cat>
            <c:strRef>
              <c:f>Pivots!$A$126:$A$141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Pivots!$B$126:$B$141</c:f>
              <c:numCache>
                <c:formatCode>General</c:formatCode>
                <c:ptCount val="15"/>
                <c:pt idx="0">
                  <c:v>90</c:v>
                </c:pt>
                <c:pt idx="1">
                  <c:v>424</c:v>
                </c:pt>
                <c:pt idx="2">
                  <c:v>291</c:v>
                </c:pt>
                <c:pt idx="3">
                  <c:v>180</c:v>
                </c:pt>
                <c:pt idx="4">
                  <c:v>107</c:v>
                </c:pt>
                <c:pt idx="5">
                  <c:v>54</c:v>
                </c:pt>
                <c:pt idx="6">
                  <c:v>24</c:v>
                </c:pt>
                <c:pt idx="7">
                  <c:v>15</c:v>
                </c:pt>
                <c:pt idx="8">
                  <c:v>16</c:v>
                </c:pt>
                <c:pt idx="9">
                  <c:v>5</c:v>
                </c:pt>
                <c:pt idx="10">
                  <c:v>1</c:v>
                </c:pt>
                <c:pt idx="11">
                  <c:v>6</c:v>
                </c:pt>
                <c:pt idx="12">
                  <c:v>2</c:v>
                </c:pt>
                <c:pt idx="13">
                  <c:v>10</c:v>
                </c:pt>
                <c:pt idx="14">
                  <c:v>6</c:v>
                </c:pt>
              </c:numCache>
            </c:numRef>
          </c:val>
        </c:ser>
        <c:dLbls>
          <c:showLegendKey val="0"/>
          <c:showVal val="0"/>
          <c:showCatName val="0"/>
          <c:showSerName val="0"/>
          <c:showPercent val="0"/>
          <c:showBubbleSize val="0"/>
        </c:dLbls>
        <c:gapWidth val="219"/>
        <c:overlap val="-27"/>
        <c:axId val="294371672"/>
        <c:axId val="294372064"/>
      </c:barChart>
      <c:catAx>
        <c:axId val="29437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72064"/>
        <c:crosses val="autoZero"/>
        <c:auto val="1"/>
        <c:lblAlgn val="ctr"/>
        <c:lblOffset val="100"/>
        <c:noMultiLvlLbl val="0"/>
      </c:catAx>
      <c:valAx>
        <c:axId val="29437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71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image" Target="../media/image2.emf"/><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 xmlns:a16="http://schemas.microsoft.com/office/drawing/2014/main" id="{512E711C-2A24-4D4D-87BA-83E9FC8B40D0}"/>
            </a:ext>
          </a:extLst>
        </xdr:cNvPr>
        <xdr:cNvSpPr/>
      </xdr:nvSpPr>
      <xdr:spPr>
        <a:xfrm>
          <a:off x="1981200" y="0"/>
          <a:ext cx="13258800" cy="7863840"/>
        </a:xfrm>
        <a:prstGeom prst="rect">
          <a:avLst/>
        </a:prstGeom>
        <a:solidFill>
          <a:schemeClr val="bg2"/>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19050</xdr:rowOff>
    </xdr:to>
    <xdr:sp macro="" textlink="">
      <xdr:nvSpPr>
        <xdr:cNvPr id="2" name="Rectangle 1">
          <a:extLst>
            <a:ext uri="{FF2B5EF4-FFF2-40B4-BE49-F238E27FC236}">
              <a16:creationId xmlns="" xmlns:a16="http://schemas.microsoft.com/office/drawing/2014/main" id="{C0CF5D1E-2563-41D5-BA29-5EAAC61A9C34}"/>
            </a:ext>
          </a:extLst>
        </xdr:cNvPr>
        <xdr:cNvSpPr/>
      </xdr:nvSpPr>
      <xdr:spPr>
        <a:xfrm>
          <a:off x="0" y="0"/>
          <a:ext cx="2203450" cy="7664450"/>
        </a:xfrm>
        <a:prstGeom prst="rect">
          <a:avLst/>
        </a:prstGeom>
        <a:solidFill>
          <a:schemeClr val="accent1">
            <a:lumMod val="40000"/>
            <a:lumOff val="6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4233</xdr:colOff>
      <xdr:row>2</xdr:row>
      <xdr:rowOff>158750</xdr:rowOff>
    </xdr:to>
    <xdr:pic>
      <xdr:nvPicPr>
        <xdr:cNvPr id="4" name="Picture 3">
          <a:extLst>
            <a:ext uri="{FF2B5EF4-FFF2-40B4-BE49-F238E27FC236}">
              <a16:creationId xmlns=""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15875</xdr:colOff>
      <xdr:row>4</xdr:row>
      <xdr:rowOff>136642</xdr:rowOff>
    </xdr:from>
    <xdr:to>
      <xdr:col>1</xdr:col>
      <xdr:colOff>733425</xdr:colOff>
      <xdr:row>7</xdr:row>
      <xdr:rowOff>79492</xdr:rowOff>
    </xdr:to>
    <xdr:sp macro="" textlink="Pivots!G4">
      <xdr:nvSpPr>
        <xdr:cNvPr id="5" name="TextBox 4"/>
        <xdr:cNvSpPr txBox="1"/>
      </xdr:nvSpPr>
      <xdr:spPr>
        <a:xfrm>
          <a:off x="15875" y="856309"/>
          <a:ext cx="950383" cy="4826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ACA317-9060-4C42-9934-EA0A442A0EBB}" type="TxLink">
            <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pPr marL="0" indent="0"/>
            <a:t>1,231</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15875</xdr:colOff>
      <xdr:row>7</xdr:row>
      <xdr:rowOff>162277</xdr:rowOff>
    </xdr:from>
    <xdr:to>
      <xdr:col>1</xdr:col>
      <xdr:colOff>733425</xdr:colOff>
      <xdr:row>10</xdr:row>
      <xdr:rowOff>105127</xdr:rowOff>
    </xdr:to>
    <xdr:sp macro="" textlink="Pivots!H4">
      <xdr:nvSpPr>
        <xdr:cNvPr id="7" name="TextBox 6"/>
        <xdr:cNvSpPr txBox="1"/>
      </xdr:nvSpPr>
      <xdr:spPr>
        <a:xfrm>
          <a:off x="15875" y="1421694"/>
          <a:ext cx="950383" cy="4826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3D0A8D-3533-4A91-A2DF-34106766CD34}" type="TxLink">
            <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pPr marL="0" indent="0"/>
            <a:t>6,272</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15875</xdr:colOff>
      <xdr:row>11</xdr:row>
      <xdr:rowOff>7996</xdr:rowOff>
    </xdr:from>
    <xdr:to>
      <xdr:col>1</xdr:col>
      <xdr:colOff>733425</xdr:colOff>
      <xdr:row>13</xdr:row>
      <xdr:rowOff>128646</xdr:rowOff>
    </xdr:to>
    <xdr:sp macro="" textlink="Pivots!I4">
      <xdr:nvSpPr>
        <xdr:cNvPr id="8" name="TextBox 7"/>
        <xdr:cNvSpPr txBox="1"/>
      </xdr:nvSpPr>
      <xdr:spPr>
        <a:xfrm>
          <a:off x="15875" y="1987079"/>
          <a:ext cx="950383" cy="480484"/>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226727-4491-4430-82DE-329CD207D588}" type="TxLink">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pPr marL="0" indent="0"/>
            <a:t>$340.7K</a:t>
          </a:fld>
          <a:endPar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15875</xdr:colOff>
      <xdr:row>14</xdr:row>
      <xdr:rowOff>29398</xdr:rowOff>
    </xdr:from>
    <xdr:to>
      <xdr:col>1</xdr:col>
      <xdr:colOff>733425</xdr:colOff>
      <xdr:row>16</xdr:row>
      <xdr:rowOff>150048</xdr:rowOff>
    </xdr:to>
    <xdr:sp macro="" textlink="Pivots!J4">
      <xdr:nvSpPr>
        <xdr:cNvPr id="9" name="TextBox 8"/>
        <xdr:cNvSpPr txBox="1"/>
      </xdr:nvSpPr>
      <xdr:spPr>
        <a:xfrm>
          <a:off x="15875" y="2548231"/>
          <a:ext cx="950383" cy="480484"/>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BB2E68-3E47-4722-A39F-33B5CFCB9841}" type="TxLink">
            <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pPr marL="0" indent="0"/>
            <a:t>4.0</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15875</xdr:colOff>
      <xdr:row>17</xdr:row>
      <xdr:rowOff>50800</xdr:rowOff>
    </xdr:from>
    <xdr:to>
      <xdr:col>1</xdr:col>
      <xdr:colOff>733425</xdr:colOff>
      <xdr:row>19</xdr:row>
      <xdr:rowOff>171450</xdr:rowOff>
    </xdr:to>
    <xdr:sp macro="" textlink="Pivots!K4">
      <xdr:nvSpPr>
        <xdr:cNvPr id="10" name="TextBox 9"/>
        <xdr:cNvSpPr txBox="1"/>
      </xdr:nvSpPr>
      <xdr:spPr>
        <a:xfrm>
          <a:off x="15875" y="3109383"/>
          <a:ext cx="950383" cy="480484"/>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76BA7C-A0CE-40FD-BE46-669B0F852DC2}" type="TxLink">
            <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pPr marL="0" indent="0"/>
            <a:t>2.4</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15875</xdr:colOff>
      <xdr:row>3</xdr:row>
      <xdr:rowOff>120650</xdr:rowOff>
    </xdr:from>
    <xdr:to>
      <xdr:col>1</xdr:col>
      <xdr:colOff>1158875</xdr:colOff>
      <xdr:row>5</xdr:row>
      <xdr:rowOff>69850</xdr:rowOff>
    </xdr:to>
    <xdr:sp macro="" textlink="">
      <xdr:nvSpPr>
        <xdr:cNvPr id="11" name="TextBox 10"/>
        <xdr:cNvSpPr txBox="1"/>
      </xdr:nvSpPr>
      <xdr:spPr>
        <a:xfrm>
          <a:off x="15875" y="660400"/>
          <a:ext cx="1375833" cy="3090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ysClr val="windowText" lastClr="000000"/>
              </a:solidFill>
              <a:latin typeface="+mn-lt"/>
              <a:ea typeface="+mn-ea"/>
              <a:cs typeface="+mn-cs"/>
            </a:rPr>
            <a:t>🛒 Orders</a:t>
          </a:r>
        </a:p>
      </xdr:txBody>
    </xdr:sp>
    <xdr:clientData/>
  </xdr:twoCellAnchor>
  <xdr:twoCellAnchor>
    <xdr:from>
      <xdr:col>0</xdr:col>
      <xdr:colOff>15875</xdr:colOff>
      <xdr:row>6</xdr:row>
      <xdr:rowOff>146285</xdr:rowOff>
    </xdr:from>
    <xdr:to>
      <xdr:col>1</xdr:col>
      <xdr:colOff>1158875</xdr:colOff>
      <xdr:row>8</xdr:row>
      <xdr:rowOff>95485</xdr:rowOff>
    </xdr:to>
    <xdr:sp macro="" textlink="">
      <xdr:nvSpPr>
        <xdr:cNvPr id="12" name="TextBox 11"/>
        <xdr:cNvSpPr txBox="1"/>
      </xdr:nvSpPr>
      <xdr:spPr>
        <a:xfrm>
          <a:off x="15875" y="1225785"/>
          <a:ext cx="1375833" cy="3090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ysClr val="windowText" lastClr="000000"/>
              </a:solidFill>
              <a:latin typeface="+mn-lt"/>
              <a:ea typeface="+mn-ea"/>
              <a:cs typeface="+mn-cs"/>
            </a:rPr>
            <a:t>👕</a:t>
          </a:r>
          <a:r>
            <a:rPr lang="en-US" sz="1000">
              <a:solidFill>
                <a:sysClr val="windowText" lastClr="000000"/>
              </a:solidFill>
            </a:rPr>
            <a:t> </a:t>
          </a:r>
          <a:r>
            <a:rPr lang="en-US" sz="1000" b="1" i="0" u="none" strike="noStrike">
              <a:solidFill>
                <a:sysClr val="windowText" lastClr="000000"/>
              </a:solidFill>
              <a:latin typeface="+mn-lt"/>
              <a:ea typeface="+mn-ea"/>
              <a:cs typeface="+mn-cs"/>
            </a:rPr>
            <a:t>Quantity</a:t>
          </a:r>
        </a:p>
      </xdr:txBody>
    </xdr:sp>
    <xdr:clientData/>
  </xdr:twoCellAnchor>
  <xdr:twoCellAnchor>
    <xdr:from>
      <xdr:col>0</xdr:col>
      <xdr:colOff>15875</xdr:colOff>
      <xdr:row>9</xdr:row>
      <xdr:rowOff>171920</xdr:rowOff>
    </xdr:from>
    <xdr:to>
      <xdr:col>1</xdr:col>
      <xdr:colOff>835025</xdr:colOff>
      <xdr:row>11</xdr:row>
      <xdr:rowOff>121120</xdr:rowOff>
    </xdr:to>
    <xdr:sp macro="" textlink="">
      <xdr:nvSpPr>
        <xdr:cNvPr id="13" name="TextBox 12"/>
        <xdr:cNvSpPr txBox="1"/>
      </xdr:nvSpPr>
      <xdr:spPr>
        <a:xfrm>
          <a:off x="15875" y="1791170"/>
          <a:ext cx="1051983" cy="3090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baseline="0">
              <a:solidFill>
                <a:schemeClr val="accent4">
                  <a:lumMod val="75000"/>
                </a:schemeClr>
              </a:solidFill>
              <a:latin typeface="+mn-lt"/>
              <a:ea typeface="+mn-ea"/>
              <a:cs typeface="+mn-cs"/>
            </a:rPr>
            <a:t> </a:t>
          </a:r>
          <a:r>
            <a:rPr lang="en-US" sz="1000" b="1" i="0" u="none" strike="noStrike">
              <a:solidFill>
                <a:sysClr val="windowText" lastClr="000000"/>
              </a:solidFill>
              <a:latin typeface="+mn-lt"/>
              <a:ea typeface="+mn-ea"/>
              <a:cs typeface="+mn-cs"/>
            </a:rPr>
            <a:t>💰</a:t>
          </a:r>
          <a:r>
            <a:rPr lang="en-US" sz="1000"/>
            <a:t> </a:t>
          </a:r>
          <a:r>
            <a:rPr lang="en-US" sz="1000" b="1" i="0" u="none" strike="noStrike">
              <a:solidFill>
                <a:sysClr val="windowText" lastClr="000000"/>
              </a:solidFill>
              <a:latin typeface="+mn-lt"/>
              <a:ea typeface="+mn-ea"/>
              <a:cs typeface="+mn-cs"/>
            </a:rPr>
            <a:t>Amount</a:t>
          </a:r>
        </a:p>
      </xdr:txBody>
    </xdr:sp>
    <xdr:clientData/>
  </xdr:twoCellAnchor>
  <xdr:twoCellAnchor>
    <xdr:from>
      <xdr:col>0</xdr:col>
      <xdr:colOff>15875</xdr:colOff>
      <xdr:row>13</xdr:row>
      <xdr:rowOff>15522</xdr:rowOff>
    </xdr:from>
    <xdr:to>
      <xdr:col>1</xdr:col>
      <xdr:colOff>1158875</xdr:colOff>
      <xdr:row>14</xdr:row>
      <xdr:rowOff>142522</xdr:rowOff>
    </xdr:to>
    <xdr:sp macro="" textlink="">
      <xdr:nvSpPr>
        <xdr:cNvPr id="14" name="TextBox 13"/>
        <xdr:cNvSpPr txBox="1"/>
      </xdr:nvSpPr>
      <xdr:spPr>
        <a:xfrm>
          <a:off x="15875" y="2354439"/>
          <a:ext cx="1375833" cy="3069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ysClr val="windowText" lastClr="000000"/>
              </a:solidFill>
              <a:latin typeface="+mn-lt"/>
              <a:ea typeface="+mn-ea"/>
              <a:cs typeface="+mn-cs"/>
            </a:rPr>
            <a:t>⭐</a:t>
          </a:r>
          <a:r>
            <a:rPr lang="en-US" sz="1400" b="1" i="0" u="none" strike="noStrike">
              <a:solidFill>
                <a:schemeClr val="accent4">
                  <a:lumMod val="75000"/>
                </a:schemeClr>
              </a:solidFill>
              <a:latin typeface="+mn-lt"/>
              <a:ea typeface="+mn-ea"/>
              <a:cs typeface="+mn-cs"/>
            </a:rPr>
            <a:t>  </a:t>
          </a:r>
          <a:r>
            <a:rPr lang="en-US" sz="1000" b="1" i="0" u="none" strike="noStrike">
              <a:solidFill>
                <a:sysClr val="windowText" lastClr="000000"/>
              </a:solidFill>
              <a:latin typeface="+mn-lt"/>
              <a:ea typeface="+mn-ea"/>
              <a:cs typeface="+mn-cs"/>
            </a:rPr>
            <a:t>Avg</a:t>
          </a:r>
          <a:r>
            <a:rPr lang="en-US" sz="1050" b="1" i="0" u="none" strike="noStrike">
              <a:solidFill>
                <a:schemeClr val="accent4">
                  <a:lumMod val="75000"/>
                </a:schemeClr>
              </a:solidFill>
              <a:latin typeface="+mn-lt"/>
              <a:ea typeface="+mn-ea"/>
              <a:cs typeface="+mn-cs"/>
            </a:rPr>
            <a:t>.</a:t>
          </a:r>
          <a:r>
            <a:rPr lang="en-US" sz="1050" b="1" i="0" u="none" strike="noStrike" baseline="0">
              <a:solidFill>
                <a:schemeClr val="accent4">
                  <a:lumMod val="75000"/>
                </a:schemeClr>
              </a:solidFill>
              <a:latin typeface="+mn-lt"/>
              <a:ea typeface="+mn-ea"/>
              <a:cs typeface="+mn-cs"/>
            </a:rPr>
            <a:t> </a:t>
          </a:r>
          <a:r>
            <a:rPr lang="en-US" sz="1000" b="1" i="0" u="none" strike="noStrike">
              <a:solidFill>
                <a:sysClr val="windowText" lastClr="000000"/>
              </a:solidFill>
              <a:latin typeface="+mn-lt"/>
              <a:ea typeface="+mn-ea"/>
              <a:cs typeface="+mn-cs"/>
            </a:rPr>
            <a:t>Rating</a:t>
          </a:r>
        </a:p>
      </xdr:txBody>
    </xdr:sp>
    <xdr:clientData/>
  </xdr:twoCellAnchor>
  <xdr:twoCellAnchor>
    <xdr:from>
      <xdr:col>0</xdr:col>
      <xdr:colOff>15875</xdr:colOff>
      <xdr:row>16</xdr:row>
      <xdr:rowOff>36924</xdr:rowOff>
    </xdr:from>
    <xdr:to>
      <xdr:col>1</xdr:col>
      <xdr:colOff>1514475</xdr:colOff>
      <xdr:row>17</xdr:row>
      <xdr:rowOff>163924</xdr:rowOff>
    </xdr:to>
    <xdr:sp macro="" textlink="">
      <xdr:nvSpPr>
        <xdr:cNvPr id="15" name="TextBox 14"/>
        <xdr:cNvSpPr txBox="1"/>
      </xdr:nvSpPr>
      <xdr:spPr>
        <a:xfrm>
          <a:off x="15875" y="2915591"/>
          <a:ext cx="1731433" cy="3069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ysClr val="windowText" lastClr="000000"/>
              </a:solidFill>
              <a:latin typeface="+mn-lt"/>
              <a:ea typeface="+mn-ea"/>
              <a:cs typeface="+mn-cs"/>
            </a:rPr>
            <a:t>📅</a:t>
          </a:r>
          <a:r>
            <a:rPr lang="en-US" sz="1000" b="1" i="0" u="none" strike="noStrike">
              <a:solidFill>
                <a:schemeClr val="accent4">
                  <a:lumMod val="75000"/>
                </a:schemeClr>
              </a:solidFill>
              <a:latin typeface="+mn-lt"/>
              <a:ea typeface="+mn-ea"/>
              <a:cs typeface="+mn-cs"/>
            </a:rPr>
            <a:t>  </a:t>
          </a:r>
          <a:r>
            <a:rPr lang="en-US" sz="1000" b="1" i="0" u="none" strike="noStrike">
              <a:solidFill>
                <a:sysClr val="windowText" lastClr="000000"/>
              </a:solidFill>
              <a:latin typeface="+mn-lt"/>
              <a:ea typeface="+mn-ea"/>
              <a:cs typeface="+mn-cs"/>
            </a:rPr>
            <a:t>Avg</a:t>
          </a:r>
          <a:r>
            <a:rPr lang="en-US" sz="1000" b="1" i="0" u="none" strike="noStrike">
              <a:solidFill>
                <a:schemeClr val="accent4">
                  <a:lumMod val="75000"/>
                </a:schemeClr>
              </a:solidFill>
              <a:latin typeface="+mn-lt"/>
              <a:ea typeface="+mn-ea"/>
              <a:cs typeface="+mn-cs"/>
            </a:rPr>
            <a:t>. </a:t>
          </a:r>
          <a:r>
            <a:rPr lang="en-US" sz="1000" b="1" i="0" u="none" strike="noStrike">
              <a:solidFill>
                <a:sysClr val="windowText" lastClr="000000"/>
              </a:solidFill>
              <a:latin typeface="+mn-lt"/>
              <a:ea typeface="+mn-ea"/>
              <a:cs typeface="+mn-cs"/>
            </a:rPr>
            <a:t>Delivery</a:t>
          </a:r>
          <a:r>
            <a:rPr lang="en-US" sz="1000" b="1" i="0" u="none" strike="noStrike">
              <a:solidFill>
                <a:schemeClr val="accent4">
                  <a:lumMod val="75000"/>
                </a:schemeClr>
              </a:solidFill>
              <a:latin typeface="+mn-lt"/>
              <a:ea typeface="+mn-ea"/>
              <a:cs typeface="+mn-cs"/>
            </a:rPr>
            <a:t> </a:t>
          </a:r>
          <a:r>
            <a:rPr lang="en-US" sz="1000" b="1" i="0" u="none" strike="noStrike">
              <a:solidFill>
                <a:sysClr val="windowText" lastClr="000000"/>
              </a:solidFill>
              <a:latin typeface="+mn-lt"/>
              <a:ea typeface="+mn-ea"/>
              <a:cs typeface="+mn-cs"/>
            </a:rPr>
            <a:t>Day</a:t>
          </a:r>
        </a:p>
      </xdr:txBody>
    </xdr:sp>
    <xdr:clientData/>
  </xdr:twoCellAnchor>
  <xdr:twoCellAnchor>
    <xdr:from>
      <xdr:col>3</xdr:col>
      <xdr:colOff>203200</xdr:colOff>
      <xdr:row>1</xdr:row>
      <xdr:rowOff>0</xdr:rowOff>
    </xdr:from>
    <xdr:to>
      <xdr:col>10</xdr:col>
      <xdr:colOff>393700</xdr:colOff>
      <xdr:row>12</xdr:row>
      <xdr:rowOff>158750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169332</xdr:colOff>
      <xdr:row>0</xdr:row>
      <xdr:rowOff>139700</xdr:rowOff>
    </xdr:from>
    <xdr:to>
      <xdr:col>25</xdr:col>
      <xdr:colOff>169333</xdr:colOff>
      <xdr:row>12</xdr:row>
      <xdr:rowOff>74083</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624417</xdr:colOff>
      <xdr:row>1</xdr:row>
      <xdr:rowOff>38832</xdr:rowOff>
    </xdr:from>
    <xdr:to>
      <xdr:col>17</xdr:col>
      <xdr:colOff>635000</xdr:colOff>
      <xdr:row>11</xdr:row>
      <xdr:rowOff>146050</xdr:rowOff>
    </xdr:to>
    <xdr:pic>
      <xdr:nvPicPr>
        <xdr:cNvPr id="27"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16750" y="218749"/>
          <a:ext cx="4603750" cy="2035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190499</xdr:colOff>
      <xdr:row>13</xdr:row>
      <xdr:rowOff>127001</xdr:rowOff>
    </xdr:from>
    <xdr:to>
      <xdr:col>10</xdr:col>
      <xdr:colOff>391584</xdr:colOff>
      <xdr:row>43</xdr:row>
      <xdr:rowOff>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338668</xdr:colOff>
      <xdr:row>30</xdr:row>
      <xdr:rowOff>74085</xdr:rowOff>
    </xdr:from>
    <xdr:to>
      <xdr:col>8</xdr:col>
      <xdr:colOff>264584</xdr:colOff>
      <xdr:row>39</xdr:row>
      <xdr:rowOff>148167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488950</xdr:colOff>
      <xdr:row>13</xdr:row>
      <xdr:rowOff>126999</xdr:rowOff>
    </xdr:from>
    <xdr:to>
      <xdr:col>17</xdr:col>
      <xdr:colOff>645583</xdr:colOff>
      <xdr:row>28</xdr:row>
      <xdr:rowOff>150282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179915</xdr:colOff>
      <xdr:row>13</xdr:row>
      <xdr:rowOff>84666</xdr:rowOff>
    </xdr:from>
    <xdr:to>
      <xdr:col>25</xdr:col>
      <xdr:colOff>232832</xdr:colOff>
      <xdr:row>28</xdr:row>
      <xdr:rowOff>129116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213783</xdr:colOff>
      <xdr:row>30</xdr:row>
      <xdr:rowOff>84666</xdr:rowOff>
    </xdr:from>
    <xdr:to>
      <xdr:col>25</xdr:col>
      <xdr:colOff>192617</xdr:colOff>
      <xdr:row>42</xdr:row>
      <xdr:rowOff>63500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20</xdr:row>
      <xdr:rowOff>105834</xdr:rowOff>
    </xdr:from>
    <xdr:to>
      <xdr:col>2</xdr:col>
      <xdr:colOff>203199</xdr:colOff>
      <xdr:row>29</xdr:row>
      <xdr:rowOff>101600</xdr:rowOff>
    </xdr:to>
    <mc:AlternateContent xmlns:mc="http://schemas.openxmlformats.org/markup-compatibility/2006" xmlns:a14="http://schemas.microsoft.com/office/drawing/2010/main">
      <mc:Choice Requires="a14">
        <xdr:graphicFrame macro="">
          <xdr:nvGraphicFramePr>
            <xdr:cNvPr id="35" name="Gender Value"/>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0" y="3704167"/>
              <a:ext cx="2137832" cy="1830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74083</xdr:rowOff>
    </xdr:from>
    <xdr:to>
      <xdr:col>2</xdr:col>
      <xdr:colOff>171451</xdr:colOff>
      <xdr:row>41</xdr:row>
      <xdr:rowOff>21167</xdr:rowOff>
    </xdr:to>
    <mc:AlternateContent xmlns:mc="http://schemas.openxmlformats.org/markup-compatibility/2006">
      <mc:Choice xmlns:a14="http://schemas.microsoft.com/office/drawing/2010/main" Requires="a14">
        <xdr:graphicFrame macro="">
          <xdr:nvGraphicFramePr>
            <xdr:cNvPr id="36"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5651500"/>
              <a:ext cx="2097618"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647700</xdr:colOff>
      <xdr:row>30</xdr:row>
      <xdr:rowOff>79375</xdr:rowOff>
    </xdr:from>
    <xdr:to>
      <xdr:col>17</xdr:col>
      <xdr:colOff>552450</xdr:colOff>
      <xdr:row>42</xdr:row>
      <xdr:rowOff>63500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425730</xdr:colOff>
      <xdr:row>3</xdr:row>
      <xdr:rowOff>63622</xdr:rowOff>
    </xdr:to>
    <xdr:pic>
      <xdr:nvPicPr>
        <xdr:cNvPr id="2" name="Picture 1">
          <a:extLst>
            <a:ext uri="{FF2B5EF4-FFF2-40B4-BE49-F238E27FC236}">
              <a16:creationId xmlns=""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406400</xdr:colOff>
      <xdr:row>29</xdr:row>
      <xdr:rowOff>55129</xdr:rowOff>
    </xdr:to>
    <xdr:pic>
      <xdr:nvPicPr>
        <xdr:cNvPr id="3" name="Picture 2">
          <a:hlinkClick xmlns:r="http://schemas.openxmlformats.org/officeDocument/2006/relationships" r:id="rId2"/>
          <a:extLst>
            <a:ext uri="{FF2B5EF4-FFF2-40B4-BE49-F238E27FC236}">
              <a16:creationId xmlns=""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89.674431250001" createdVersion="5" refreshedVersion="5" minRefreshableVersion="3" recordCount="2400">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2"/>
          <x v="3"/>
          <x v="4"/>
          <x v="0"/>
          <x v="1"/>
          <x v="1"/>
          <x v="1"/>
          <x v="0"/>
          <x v="0"/>
          <x v="6"/>
          <x v="1"/>
          <x v="0"/>
          <x v="5"/>
          <x v="0"/>
          <x v="1"/>
          <x v="1"/>
          <x v="1"/>
          <x v="1"/>
          <x v="1"/>
          <x v="1"/>
          <x v="1"/>
          <x v="1"/>
          <x v="1"/>
          <x v="1"/>
          <x v="1"/>
          <x v="1"/>
          <x v="1"/>
          <x v="1"/>
          <x v="1"/>
          <x v="1"/>
          <x v="1"/>
          <x v="1"/>
          <x v="1"/>
          <x v="1"/>
          <x v="1"/>
          <x v="1"/>
          <x v="1"/>
          <x v="1"/>
          <x v="1"/>
          <x v="1"/>
          <x v="1"/>
          <x v="1"/>
          <x v="1"/>
          <x v="1"/>
          <x v="1"/>
          <x v="1"/>
          <x v="1"/>
          <x v="1"/>
        </discretePr>
        <groupItems count="7">
          <s v="Group1"/>
          <s v="Group2"/>
          <s v="1"/>
          <s v="2"/>
          <s v="3"/>
          <s v="4"/>
          <s v="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s v="TX500001"/>
    <x v="0"/>
    <x v="0"/>
    <n v="10.9"/>
    <n v="10.9"/>
    <d v="2025-01-01T00:00:00"/>
    <d v="2025-01-06T00:00:00"/>
    <s v=""/>
    <x v="0"/>
    <x v="0"/>
    <x v="0"/>
    <x v="0"/>
    <x v="0"/>
    <x v="0"/>
    <x v="0"/>
  </r>
  <r>
    <s v="TX500002"/>
    <x v="1"/>
    <x v="1"/>
    <n v="30.6"/>
    <n v="61.2"/>
    <d v="2025-01-01T00:00:00"/>
    <d v="2025-01-03T00:00:00"/>
    <s v="M"/>
    <x v="0"/>
    <x v="0"/>
    <x v="0"/>
    <x v="1"/>
    <x v="1"/>
    <x v="0"/>
    <x v="1"/>
  </r>
  <r>
    <s v="TX500003"/>
    <x v="2"/>
    <x v="2"/>
    <n v="109.4"/>
    <n v="328.20000000000005"/>
    <d v="2025-01-01T00:00:00"/>
    <d v="2025-01-04T00:00:00"/>
    <s v="F"/>
    <x v="0"/>
    <x v="1"/>
    <x v="0"/>
    <x v="2"/>
    <x v="2"/>
    <x v="0"/>
    <x v="2"/>
  </r>
  <r>
    <s v="TX500004"/>
    <x v="3"/>
    <x v="3"/>
    <n v="37.700000000000003"/>
    <n v="263.90000000000003"/>
    <d v="2025-01-01T00:00:00"/>
    <d v="2025-01-02T00:00:00"/>
    <s v="F"/>
    <x v="0"/>
    <x v="0"/>
    <x v="0"/>
    <x v="2"/>
    <x v="3"/>
    <x v="0"/>
    <x v="2"/>
  </r>
  <r>
    <s v="TX500005"/>
    <x v="4"/>
    <x v="2"/>
    <n v="56.7"/>
    <n v="170.10000000000002"/>
    <d v="2025-01-01T00:00:00"/>
    <d v="2025-01-04T00:00:00"/>
    <s v="F"/>
    <x v="0"/>
    <x v="2"/>
    <x v="0"/>
    <x v="3"/>
    <x v="2"/>
    <x v="0"/>
    <x v="2"/>
  </r>
  <r>
    <s v="TX500006"/>
    <x v="1"/>
    <x v="4"/>
    <n v="83.5"/>
    <n v="1002"/>
    <d v="2025-01-01T00:00:00"/>
    <d v="2025-01-04T00:00:00"/>
    <s v="M"/>
    <x v="1"/>
    <x v="0"/>
    <x v="0"/>
    <x v="3"/>
    <x v="2"/>
    <x v="0"/>
    <x v="1"/>
  </r>
  <r>
    <s v="TX500007"/>
    <x v="5"/>
    <x v="0"/>
    <n v="55.3"/>
    <n v="55.3"/>
    <d v="2025-01-01T00:00:00"/>
    <d v="2025-01-02T00:00:00"/>
    <s v="F"/>
    <x v="0"/>
    <x v="0"/>
    <x v="0"/>
    <x v="3"/>
    <x v="3"/>
    <x v="0"/>
    <x v="2"/>
  </r>
  <r>
    <s v="TX500008"/>
    <x v="6"/>
    <x v="1"/>
    <n v="40.299999999999997"/>
    <n v="80.599999999999994"/>
    <d v="2025-01-01T00:00:00"/>
    <d v="2025-01-02T00:00:00"/>
    <s v="M"/>
    <x v="2"/>
    <x v="2"/>
    <x v="0"/>
    <x v="3"/>
    <x v="3"/>
    <x v="0"/>
    <x v="1"/>
  </r>
  <r>
    <s v="TX500009"/>
    <x v="7"/>
    <x v="5"/>
    <n v="35.700000000000003"/>
    <n v="392.70000000000005"/>
    <d v="2025-01-01T00:00:00"/>
    <d v="2025-01-02T00:00:00"/>
    <s v="F"/>
    <x v="0"/>
    <x v="0"/>
    <x v="0"/>
    <x v="3"/>
    <x v="3"/>
    <x v="0"/>
    <x v="2"/>
  </r>
  <r>
    <s v="TX500010"/>
    <x v="8"/>
    <x v="3"/>
    <n v="22.4"/>
    <n v="156.79999999999998"/>
    <d v="2025-01-01T00:00:00"/>
    <d v="2025-01-04T00:00:00"/>
    <s v="M"/>
    <x v="0"/>
    <x v="1"/>
    <x v="0"/>
    <x v="3"/>
    <x v="2"/>
    <x v="0"/>
    <x v="1"/>
  </r>
  <r>
    <s v="TX500011"/>
    <x v="9"/>
    <x v="1"/>
    <n v="54.4"/>
    <n v="108.8"/>
    <d v="2025-01-01T00:00:00"/>
    <d v="2025-01-07T00:00:00"/>
    <s v="F"/>
    <x v="0"/>
    <x v="0"/>
    <x v="0"/>
    <x v="3"/>
    <x v="4"/>
    <x v="0"/>
    <x v="2"/>
  </r>
  <r>
    <s v="TX500012"/>
    <x v="9"/>
    <x v="1"/>
    <n v="49"/>
    <n v="98"/>
    <d v="2025-01-01T00:00:00"/>
    <d v="2025-01-03T00:00:00"/>
    <s v="F"/>
    <x v="2"/>
    <x v="1"/>
    <x v="0"/>
    <x v="3"/>
    <x v="1"/>
    <x v="0"/>
    <x v="2"/>
  </r>
  <r>
    <s v="TX500013"/>
    <x v="5"/>
    <x v="3"/>
    <n v="118.6"/>
    <n v="830.19999999999993"/>
    <d v="2025-01-01T00:00:00"/>
    <d v="2025-01-05T00:00:00"/>
    <s v="F"/>
    <x v="1"/>
    <x v="0"/>
    <x v="0"/>
    <x v="4"/>
    <x v="5"/>
    <x v="0"/>
    <x v="2"/>
  </r>
  <r>
    <s v="TX500014"/>
    <x v="6"/>
    <x v="6"/>
    <n v="88.4"/>
    <n v="2386.8000000000002"/>
    <d v="2025-01-01T00:00:00"/>
    <d v="2025-01-08T00:00:00"/>
    <s v="M"/>
    <x v="3"/>
    <x v="0"/>
    <x v="0"/>
    <x v="5"/>
    <x v="6"/>
    <x v="0"/>
    <x v="1"/>
  </r>
  <r>
    <s v="TX500015"/>
    <x v="10"/>
    <x v="0"/>
    <n v="66.7"/>
    <n v="66.7"/>
    <d v="2025-01-01T00:00:00"/>
    <d v="2025-01-04T00:00:00"/>
    <s v="M"/>
    <x v="0"/>
    <x v="0"/>
    <x v="0"/>
    <x v="6"/>
    <x v="2"/>
    <x v="0"/>
    <x v="1"/>
  </r>
  <r>
    <s v="TX500016"/>
    <x v="9"/>
    <x v="7"/>
    <n v="30.9"/>
    <n v="309"/>
    <d v="2025-01-01T00:00:00"/>
    <d v="2025-01-02T00:00:00"/>
    <s v="M"/>
    <x v="1"/>
    <x v="2"/>
    <x v="0"/>
    <x v="6"/>
    <x v="3"/>
    <x v="0"/>
    <x v="1"/>
  </r>
  <r>
    <s v="TX500017"/>
    <x v="4"/>
    <x v="2"/>
    <n v="31.1"/>
    <n v="93.300000000000011"/>
    <d v="2025-01-01T00:00:00"/>
    <d v="2025-01-02T00:00:00"/>
    <s v="F"/>
    <x v="0"/>
    <x v="1"/>
    <x v="0"/>
    <x v="6"/>
    <x v="3"/>
    <x v="0"/>
    <x v="2"/>
  </r>
  <r>
    <s v="TX500018"/>
    <x v="7"/>
    <x v="2"/>
    <n v="36.6"/>
    <n v="109.80000000000001"/>
    <d v="2025-01-01T00:00:00"/>
    <d v="2025-01-04T00:00:00"/>
    <s v="F"/>
    <x v="0"/>
    <x v="0"/>
    <x v="0"/>
    <x v="7"/>
    <x v="2"/>
    <x v="0"/>
    <x v="2"/>
  </r>
  <r>
    <s v="TX500019"/>
    <x v="6"/>
    <x v="8"/>
    <n v="51.1"/>
    <n v="408.8"/>
    <d v="2025-01-01T00:00:00"/>
    <d v="2025-01-04T00:00:00"/>
    <s v="F"/>
    <x v="2"/>
    <x v="3"/>
    <x v="0"/>
    <x v="7"/>
    <x v="2"/>
    <x v="0"/>
    <x v="2"/>
  </r>
  <r>
    <s v="TX500020"/>
    <x v="9"/>
    <x v="0"/>
    <n v="25.2"/>
    <n v="25.2"/>
    <d v="2025-01-01T00:00:00"/>
    <d v="2025-01-02T00:00:00"/>
    <s v="F"/>
    <x v="1"/>
    <x v="2"/>
    <x v="0"/>
    <x v="8"/>
    <x v="3"/>
    <x v="0"/>
    <x v="2"/>
  </r>
  <r>
    <s v="TX500021"/>
    <x v="9"/>
    <x v="9"/>
    <n v="43.8"/>
    <n v="219"/>
    <d v="2025-01-01T00:00:00"/>
    <d v="2025-01-04T00:00:00"/>
    <s v="F"/>
    <x v="2"/>
    <x v="0"/>
    <x v="0"/>
    <x v="8"/>
    <x v="2"/>
    <x v="0"/>
    <x v="2"/>
  </r>
  <r>
    <s v="TX500022"/>
    <x v="8"/>
    <x v="4"/>
    <n v="46.7"/>
    <n v="560.40000000000009"/>
    <d v="2025-01-01T00:00:00"/>
    <d v="2025-01-02T00:00:00"/>
    <s v="F"/>
    <x v="1"/>
    <x v="1"/>
    <x v="0"/>
    <x v="8"/>
    <x v="3"/>
    <x v="0"/>
    <x v="2"/>
  </r>
  <r>
    <s v="TX500023"/>
    <x v="3"/>
    <x v="10"/>
    <n v="79.900000000000006"/>
    <n v="1518.1000000000001"/>
    <d v="2025-01-01T00:00:00"/>
    <d v="2025-01-02T00:00:00"/>
    <s v="M"/>
    <x v="0"/>
    <x v="2"/>
    <x v="0"/>
    <x v="8"/>
    <x v="3"/>
    <x v="0"/>
    <x v="1"/>
  </r>
  <r>
    <s v="TX500024"/>
    <x v="11"/>
    <x v="8"/>
    <n v="26.4"/>
    <n v="211.2"/>
    <d v="2025-01-01T00:00:00"/>
    <d v="2025-01-02T00:00:00"/>
    <s v="F"/>
    <x v="3"/>
    <x v="0"/>
    <x v="0"/>
    <x v="8"/>
    <x v="3"/>
    <x v="0"/>
    <x v="2"/>
  </r>
  <r>
    <s v="TX500025"/>
    <x v="12"/>
    <x v="8"/>
    <n v="88.8"/>
    <n v="710.4"/>
    <d v="2025-01-01T00:00:00"/>
    <d v="2025-01-02T00:00:00"/>
    <s v="F"/>
    <x v="4"/>
    <x v="0"/>
    <x v="0"/>
    <x v="8"/>
    <x v="3"/>
    <x v="0"/>
    <x v="2"/>
  </r>
  <r>
    <s v="TX500026"/>
    <x v="0"/>
    <x v="7"/>
    <n v="17.5"/>
    <n v="175"/>
    <d v="2025-01-01T00:00:00"/>
    <d v="2025-01-02T00:00:00"/>
    <s v="F"/>
    <x v="2"/>
    <x v="0"/>
    <x v="0"/>
    <x v="9"/>
    <x v="3"/>
    <x v="0"/>
    <x v="2"/>
  </r>
  <r>
    <s v="TX500027"/>
    <x v="1"/>
    <x v="11"/>
    <n v="38.700000000000003"/>
    <n v="348.3"/>
    <d v="2025-01-01T00:00:00"/>
    <d v="2025-01-04T00:00:00"/>
    <s v="M"/>
    <x v="1"/>
    <x v="0"/>
    <x v="0"/>
    <x v="10"/>
    <x v="2"/>
    <x v="0"/>
    <x v="1"/>
  </r>
  <r>
    <s v="TX500028"/>
    <x v="13"/>
    <x v="12"/>
    <n v="57.2"/>
    <n v="228.8"/>
    <d v="2025-01-01T00:00:00"/>
    <d v="2025-01-03T00:00:00"/>
    <s v=""/>
    <x v="1"/>
    <x v="2"/>
    <x v="0"/>
    <x v="11"/>
    <x v="1"/>
    <x v="0"/>
    <x v="0"/>
  </r>
  <r>
    <s v="TX500029"/>
    <x v="6"/>
    <x v="9"/>
    <n v="50.9"/>
    <n v="254.5"/>
    <d v="2025-01-01T00:00:00"/>
    <d v="2025-01-07T00:00:00"/>
    <s v=""/>
    <x v="1"/>
    <x v="2"/>
    <x v="0"/>
    <x v="12"/>
    <x v="4"/>
    <x v="0"/>
    <x v="0"/>
  </r>
  <r>
    <s v="TX500030"/>
    <x v="14"/>
    <x v="3"/>
    <n v="41"/>
    <n v="287"/>
    <d v="2025-01-01T00:00:00"/>
    <d v="2025-01-05T00:00:00"/>
    <s v="F"/>
    <x v="1"/>
    <x v="0"/>
    <x v="0"/>
    <x v="13"/>
    <x v="5"/>
    <x v="0"/>
    <x v="2"/>
  </r>
  <r>
    <s v="TX500031"/>
    <x v="8"/>
    <x v="3"/>
    <n v="19.100000000000001"/>
    <n v="133.70000000000002"/>
    <d v="2025-01-01T00:00:00"/>
    <d v="2025-01-05T00:00:00"/>
    <s v="M"/>
    <x v="0"/>
    <x v="2"/>
    <x v="0"/>
    <x v="14"/>
    <x v="5"/>
    <x v="0"/>
    <x v="1"/>
  </r>
  <r>
    <s v="TX500032"/>
    <x v="2"/>
    <x v="9"/>
    <n v="166.1"/>
    <n v="830.5"/>
    <d v="2025-01-01T00:00:00"/>
    <d v="2025-01-04T00:00:00"/>
    <s v="M"/>
    <x v="0"/>
    <x v="0"/>
    <x v="0"/>
    <x v="15"/>
    <x v="2"/>
    <x v="0"/>
    <x v="1"/>
  </r>
  <r>
    <s v="TX500033"/>
    <x v="4"/>
    <x v="2"/>
    <n v="29.9"/>
    <n v="89.699999999999989"/>
    <d v="2025-01-01T00:00:00"/>
    <d v="2025-01-02T00:00:00"/>
    <s v="M"/>
    <x v="3"/>
    <x v="0"/>
    <x v="0"/>
    <x v="3"/>
    <x v="3"/>
    <x v="0"/>
    <x v="1"/>
  </r>
  <r>
    <s v="TX500034"/>
    <x v="10"/>
    <x v="13"/>
    <n v="21.7"/>
    <n v="130.19999999999999"/>
    <d v="2025-01-01T00:00:00"/>
    <d v="2025-01-03T00:00:00"/>
    <s v="O"/>
    <x v="2"/>
    <x v="2"/>
    <x v="0"/>
    <x v="3"/>
    <x v="1"/>
    <x v="0"/>
    <x v="3"/>
  </r>
  <r>
    <s v="TX500035"/>
    <x v="11"/>
    <x v="1"/>
    <n v="32"/>
    <n v="64"/>
    <d v="2025-01-01T00:00:00"/>
    <d v="2025-01-04T00:00:00"/>
    <s v="M"/>
    <x v="0"/>
    <x v="2"/>
    <x v="0"/>
    <x v="3"/>
    <x v="2"/>
    <x v="0"/>
    <x v="1"/>
  </r>
  <r>
    <s v="TX500036"/>
    <x v="8"/>
    <x v="1"/>
    <n v="15.8"/>
    <n v="31.6"/>
    <d v="2025-01-01T00:00:00"/>
    <d v="2025-01-02T00:00:00"/>
    <s v="M"/>
    <x v="4"/>
    <x v="2"/>
    <x v="0"/>
    <x v="3"/>
    <x v="3"/>
    <x v="0"/>
    <x v="1"/>
  </r>
  <r>
    <s v="TX500037"/>
    <x v="2"/>
    <x v="14"/>
    <n v="203.1"/>
    <n v="3452.7"/>
    <d v="2025-01-01T00:00:00"/>
    <d v="2025-01-05T00:00:00"/>
    <s v="M"/>
    <x v="3"/>
    <x v="1"/>
    <x v="0"/>
    <x v="3"/>
    <x v="5"/>
    <x v="0"/>
    <x v="1"/>
  </r>
  <r>
    <s v="TX500038"/>
    <x v="7"/>
    <x v="15"/>
    <n v="39"/>
    <n v="507"/>
    <d v="2025-01-01T00:00:00"/>
    <d v="2025-01-07T00:00:00"/>
    <s v="M"/>
    <x v="0"/>
    <x v="2"/>
    <x v="0"/>
    <x v="3"/>
    <x v="4"/>
    <x v="0"/>
    <x v="1"/>
  </r>
  <r>
    <s v="TX500039"/>
    <x v="10"/>
    <x v="0"/>
    <n v="26.5"/>
    <n v="26.5"/>
    <d v="2025-01-02T00:00:00"/>
    <d v="2025-01-03T00:00:00"/>
    <s v="M"/>
    <x v="2"/>
    <x v="0"/>
    <x v="0"/>
    <x v="3"/>
    <x v="3"/>
    <x v="0"/>
    <x v="1"/>
  </r>
  <r>
    <s v="TX500040"/>
    <x v="5"/>
    <x v="0"/>
    <n v="43.1"/>
    <n v="43.1"/>
    <d v="2025-01-02T00:00:00"/>
    <d v="2025-01-03T00:00:00"/>
    <s v="F"/>
    <x v="2"/>
    <x v="1"/>
    <x v="0"/>
    <x v="3"/>
    <x v="3"/>
    <x v="0"/>
    <x v="2"/>
  </r>
  <r>
    <s v="TX500041"/>
    <x v="1"/>
    <x v="2"/>
    <n v="139"/>
    <n v="417"/>
    <d v="2025-01-02T00:00:00"/>
    <d v="2025-01-03T00:00:00"/>
    <s v="F"/>
    <x v="4"/>
    <x v="2"/>
    <x v="0"/>
    <x v="3"/>
    <x v="3"/>
    <x v="0"/>
    <x v="2"/>
  </r>
  <r>
    <s v="TX500042"/>
    <x v="12"/>
    <x v="0"/>
    <n v="80.7"/>
    <n v="80.7"/>
    <d v="2025-01-02T00:00:00"/>
    <d v="2025-01-03T00:00:00"/>
    <s v="M"/>
    <x v="0"/>
    <x v="2"/>
    <x v="0"/>
    <x v="16"/>
    <x v="3"/>
    <x v="0"/>
    <x v="1"/>
  </r>
  <r>
    <s v="TX500043"/>
    <x v="4"/>
    <x v="1"/>
    <n v="54.5"/>
    <n v="109"/>
    <d v="2025-01-02T00:00:00"/>
    <d v="2025-01-04T00:00:00"/>
    <s v="M"/>
    <x v="1"/>
    <x v="1"/>
    <x v="0"/>
    <x v="6"/>
    <x v="1"/>
    <x v="0"/>
    <x v="1"/>
  </r>
  <r>
    <s v="TX500044"/>
    <x v="6"/>
    <x v="2"/>
    <n v="68.599999999999994"/>
    <n v="205.79999999999998"/>
    <d v="2025-01-02T00:00:00"/>
    <d v="2025-01-02T00:00:00"/>
    <s v="F"/>
    <x v="0"/>
    <x v="1"/>
    <x v="0"/>
    <x v="8"/>
    <x v="7"/>
    <x v="0"/>
    <x v="2"/>
  </r>
  <r>
    <s v="TX500045"/>
    <x v="2"/>
    <x v="12"/>
    <n v="135.9"/>
    <n v="543.6"/>
    <d v="2025-01-02T00:00:00"/>
    <d v="2025-01-03T00:00:00"/>
    <s v="F"/>
    <x v="2"/>
    <x v="2"/>
    <x v="0"/>
    <x v="8"/>
    <x v="3"/>
    <x v="0"/>
    <x v="2"/>
  </r>
  <r>
    <s v="TX500046"/>
    <x v="2"/>
    <x v="12"/>
    <n v="70.900000000000006"/>
    <n v="283.60000000000002"/>
    <d v="2025-01-02T00:00:00"/>
    <d v="2025-01-03T00:00:00"/>
    <s v="F"/>
    <x v="0"/>
    <x v="0"/>
    <x v="0"/>
    <x v="17"/>
    <x v="3"/>
    <x v="0"/>
    <x v="2"/>
  </r>
  <r>
    <s v="TX500047"/>
    <x v="1"/>
    <x v="9"/>
    <n v="63.7"/>
    <n v="318.5"/>
    <d v="2025-01-02T00:00:00"/>
    <d v="2025-01-03T00:00:00"/>
    <s v="M"/>
    <x v="1"/>
    <x v="1"/>
    <x v="0"/>
    <x v="9"/>
    <x v="3"/>
    <x v="0"/>
    <x v="1"/>
  </r>
  <r>
    <s v="TX500048"/>
    <x v="13"/>
    <x v="0"/>
    <n v="29.7"/>
    <n v="29.7"/>
    <d v="2025-01-02T00:00:00"/>
    <d v="2025-01-04T00:00:00"/>
    <s v="F"/>
    <x v="1"/>
    <x v="0"/>
    <x v="0"/>
    <x v="11"/>
    <x v="1"/>
    <x v="0"/>
    <x v="2"/>
  </r>
  <r>
    <s v="TX500049"/>
    <x v="4"/>
    <x v="2"/>
    <n v="26.8"/>
    <n v="80.400000000000006"/>
    <d v="2025-01-02T00:00:00"/>
    <d v="2025-01-11T00:00:00"/>
    <s v="F"/>
    <x v="1"/>
    <x v="2"/>
    <x v="0"/>
    <x v="11"/>
    <x v="8"/>
    <x v="0"/>
    <x v="2"/>
  </r>
  <r>
    <s v="TX500050"/>
    <x v="14"/>
    <x v="0"/>
    <n v="27"/>
    <n v="27"/>
    <d v="2025-01-02T00:00:00"/>
    <d v="2025-01-04T00:00:00"/>
    <s v="F"/>
    <x v="0"/>
    <x v="0"/>
    <x v="0"/>
    <x v="18"/>
    <x v="1"/>
    <x v="0"/>
    <x v="2"/>
  </r>
  <r>
    <s v="TX500051"/>
    <x v="8"/>
    <x v="0"/>
    <n v="41.4"/>
    <n v="41.4"/>
    <d v="2025-01-02T00:00:00"/>
    <d v="2025-01-03T00:00:00"/>
    <s v="M"/>
    <x v="1"/>
    <x v="2"/>
    <x v="0"/>
    <x v="19"/>
    <x v="3"/>
    <x v="0"/>
    <x v="1"/>
  </r>
  <r>
    <s v="TX500052"/>
    <x v="8"/>
    <x v="1"/>
    <n v="24.3"/>
    <n v="48.6"/>
    <d v="2025-01-02T00:00:00"/>
    <d v="2025-01-05T00:00:00"/>
    <s v="F"/>
    <x v="1"/>
    <x v="0"/>
    <x v="0"/>
    <x v="19"/>
    <x v="2"/>
    <x v="0"/>
    <x v="2"/>
  </r>
  <r>
    <s v="TX500053"/>
    <x v="8"/>
    <x v="2"/>
    <n v="41.7"/>
    <n v="125.10000000000001"/>
    <d v="2025-01-02T00:00:00"/>
    <d v="2025-01-04T00:00:00"/>
    <s v="M"/>
    <x v="0"/>
    <x v="2"/>
    <x v="0"/>
    <x v="20"/>
    <x v="1"/>
    <x v="0"/>
    <x v="1"/>
  </r>
  <r>
    <s v="TX500054"/>
    <x v="0"/>
    <x v="1"/>
    <n v="18"/>
    <n v="36"/>
    <d v="2025-01-02T00:00:00"/>
    <d v="2025-01-03T00:00:00"/>
    <s v="F"/>
    <x v="0"/>
    <x v="2"/>
    <x v="0"/>
    <x v="21"/>
    <x v="3"/>
    <x v="0"/>
    <x v="2"/>
  </r>
  <r>
    <s v="TX500055"/>
    <x v="7"/>
    <x v="2"/>
    <n v="91.3"/>
    <n v="273.89999999999998"/>
    <d v="2025-01-02T00:00:00"/>
    <d v="2025-01-05T00:00:00"/>
    <s v="M"/>
    <x v="2"/>
    <x v="2"/>
    <x v="0"/>
    <x v="3"/>
    <x v="2"/>
    <x v="0"/>
    <x v="1"/>
  </r>
  <r>
    <s v="TX500056"/>
    <x v="8"/>
    <x v="8"/>
    <n v="19.3"/>
    <n v="154.4"/>
    <d v="2025-01-02T00:00:00"/>
    <d v="2025-01-03T00:00:00"/>
    <s v="M"/>
    <x v="0"/>
    <x v="0"/>
    <x v="0"/>
    <x v="3"/>
    <x v="3"/>
    <x v="0"/>
    <x v="1"/>
  </r>
  <r>
    <s v="TX500057"/>
    <x v="12"/>
    <x v="15"/>
    <n v="63.2"/>
    <n v="821.6"/>
    <d v="2025-01-02T00:00:00"/>
    <d v="2025-01-03T00:00:00"/>
    <s v="F"/>
    <x v="0"/>
    <x v="0"/>
    <x v="0"/>
    <x v="3"/>
    <x v="3"/>
    <x v="0"/>
    <x v="2"/>
  </r>
  <r>
    <s v="TX500058"/>
    <x v="10"/>
    <x v="11"/>
    <n v="33.299999999999997"/>
    <n v="299.7"/>
    <d v="2025-01-03T00:00:00"/>
    <d v="2025-01-11T00:00:00"/>
    <s v="F"/>
    <x v="0"/>
    <x v="2"/>
    <x v="0"/>
    <x v="3"/>
    <x v="9"/>
    <x v="0"/>
    <x v="2"/>
  </r>
  <r>
    <s v="TX500059"/>
    <x v="7"/>
    <x v="1"/>
    <n v="64.2"/>
    <n v="128.4"/>
    <d v="2025-01-03T00:00:00"/>
    <d v="2025-01-04T00:00:00"/>
    <s v="M"/>
    <x v="0"/>
    <x v="2"/>
    <x v="0"/>
    <x v="3"/>
    <x v="3"/>
    <x v="0"/>
    <x v="1"/>
  </r>
  <r>
    <s v="TX500060"/>
    <x v="9"/>
    <x v="2"/>
    <n v="23.1"/>
    <n v="69.300000000000011"/>
    <d v="2025-01-03T00:00:00"/>
    <d v="2025-01-06T00:00:00"/>
    <s v="F"/>
    <x v="1"/>
    <x v="2"/>
    <x v="0"/>
    <x v="3"/>
    <x v="2"/>
    <x v="0"/>
    <x v="2"/>
  </r>
  <r>
    <s v="TX500061"/>
    <x v="15"/>
    <x v="1"/>
    <n v="71.099999999999994"/>
    <n v="142.19999999999999"/>
    <d v="2025-01-03T00:00:00"/>
    <d v="2025-01-05T00:00:00"/>
    <s v="F"/>
    <x v="3"/>
    <x v="1"/>
    <x v="0"/>
    <x v="3"/>
    <x v="1"/>
    <x v="0"/>
    <x v="2"/>
  </r>
  <r>
    <s v="TX500062"/>
    <x v="0"/>
    <x v="1"/>
    <n v="11.5"/>
    <n v="23"/>
    <d v="2025-01-03T00:00:00"/>
    <d v="2025-01-04T00:00:00"/>
    <s v="F"/>
    <x v="0"/>
    <x v="0"/>
    <x v="0"/>
    <x v="3"/>
    <x v="3"/>
    <x v="0"/>
    <x v="2"/>
  </r>
  <r>
    <s v="TX500063"/>
    <x v="15"/>
    <x v="10"/>
    <n v="69.2"/>
    <n v="1314.8"/>
    <d v="2025-01-03T00:00:00"/>
    <d v="2025-01-08T00:00:00"/>
    <s v="F"/>
    <x v="0"/>
    <x v="0"/>
    <x v="0"/>
    <x v="3"/>
    <x v="0"/>
    <x v="0"/>
    <x v="2"/>
  </r>
  <r>
    <s v="TX500064"/>
    <x v="0"/>
    <x v="0"/>
    <n v="26.8"/>
    <n v="26.8"/>
    <d v="2025-01-03T00:00:00"/>
    <d v="2025-01-04T00:00:00"/>
    <s v="M"/>
    <x v="2"/>
    <x v="4"/>
    <x v="0"/>
    <x v="3"/>
    <x v="3"/>
    <x v="0"/>
    <x v="1"/>
  </r>
  <r>
    <s v="TX500065"/>
    <x v="16"/>
    <x v="2"/>
    <n v="31.2"/>
    <n v="93.6"/>
    <d v="2025-01-03T00:00:00"/>
    <d v="2025-01-06T00:00:00"/>
    <s v="F"/>
    <x v="0"/>
    <x v="0"/>
    <x v="0"/>
    <x v="3"/>
    <x v="2"/>
    <x v="0"/>
    <x v="2"/>
  </r>
  <r>
    <s v="TX500066"/>
    <x v="12"/>
    <x v="1"/>
    <n v="113.2"/>
    <n v="226.4"/>
    <d v="2025-01-03T00:00:00"/>
    <d v="2025-01-04T00:00:00"/>
    <s v="F"/>
    <x v="4"/>
    <x v="0"/>
    <x v="0"/>
    <x v="3"/>
    <x v="3"/>
    <x v="0"/>
    <x v="2"/>
  </r>
  <r>
    <s v="TX500067"/>
    <x v="10"/>
    <x v="8"/>
    <n v="21"/>
    <n v="168"/>
    <d v="2025-01-03T00:00:00"/>
    <d v="2025-01-04T00:00:00"/>
    <s v="M"/>
    <x v="0"/>
    <x v="0"/>
    <x v="0"/>
    <x v="6"/>
    <x v="3"/>
    <x v="0"/>
    <x v="1"/>
  </r>
  <r>
    <s v="TX500068"/>
    <x v="1"/>
    <x v="1"/>
    <n v="89.1"/>
    <n v="178.2"/>
    <d v="2025-01-03T00:00:00"/>
    <d v="2025-01-04T00:00:00"/>
    <s v="F"/>
    <x v="2"/>
    <x v="2"/>
    <x v="0"/>
    <x v="6"/>
    <x v="3"/>
    <x v="0"/>
    <x v="2"/>
  </r>
  <r>
    <s v="TX500069"/>
    <x v="1"/>
    <x v="0"/>
    <n v="97.7"/>
    <n v="97.7"/>
    <d v="2025-01-03T00:00:00"/>
    <d v="2025-01-05T00:00:00"/>
    <s v="F"/>
    <x v="0"/>
    <x v="1"/>
    <x v="0"/>
    <x v="6"/>
    <x v="1"/>
    <x v="0"/>
    <x v="2"/>
  </r>
  <r>
    <s v="TX500070"/>
    <x v="15"/>
    <x v="12"/>
    <n v="97.7"/>
    <n v="390.8"/>
    <d v="2025-01-03T00:00:00"/>
    <d v="2025-01-05T00:00:00"/>
    <s v="M"/>
    <x v="3"/>
    <x v="0"/>
    <x v="0"/>
    <x v="6"/>
    <x v="1"/>
    <x v="0"/>
    <x v="1"/>
  </r>
  <r>
    <s v="TX500071"/>
    <x v="17"/>
    <x v="2"/>
    <n v="47.4"/>
    <n v="142.19999999999999"/>
    <d v="2025-01-03T00:00:00"/>
    <d v="2025-01-06T00:00:00"/>
    <s v="M"/>
    <x v="3"/>
    <x v="2"/>
    <x v="0"/>
    <x v="8"/>
    <x v="2"/>
    <x v="0"/>
    <x v="1"/>
  </r>
  <r>
    <s v="TX500072"/>
    <x v="7"/>
    <x v="0"/>
    <n v="89.6"/>
    <n v="89.6"/>
    <d v="2025-01-03T00:00:00"/>
    <d v="2025-01-06T00:00:00"/>
    <s v="F"/>
    <x v="0"/>
    <x v="2"/>
    <x v="0"/>
    <x v="8"/>
    <x v="2"/>
    <x v="0"/>
    <x v="2"/>
  </r>
  <r>
    <s v="TX500073"/>
    <x v="10"/>
    <x v="16"/>
    <n v="28.4"/>
    <n v="511.2"/>
    <d v="2025-01-03T00:00:00"/>
    <d v="2025-01-06T00:00:00"/>
    <s v="F"/>
    <x v="3"/>
    <x v="2"/>
    <x v="0"/>
    <x v="17"/>
    <x v="2"/>
    <x v="0"/>
    <x v="2"/>
  </r>
  <r>
    <s v="TX500074"/>
    <x v="0"/>
    <x v="1"/>
    <n v="17.899999999999999"/>
    <n v="35.799999999999997"/>
    <d v="2025-01-03T00:00:00"/>
    <d v="2025-01-04T00:00:00"/>
    <s v="F"/>
    <x v="0"/>
    <x v="2"/>
    <x v="0"/>
    <x v="9"/>
    <x v="3"/>
    <x v="0"/>
    <x v="2"/>
  </r>
  <r>
    <s v="TX500075"/>
    <x v="9"/>
    <x v="1"/>
    <n v="48.4"/>
    <n v="96.8"/>
    <d v="2025-01-03T00:00:00"/>
    <d v="2025-01-06T00:00:00"/>
    <s v="M"/>
    <x v="1"/>
    <x v="0"/>
    <x v="0"/>
    <x v="9"/>
    <x v="2"/>
    <x v="0"/>
    <x v="1"/>
  </r>
  <r>
    <s v="TX500076"/>
    <x v="12"/>
    <x v="12"/>
    <n v="44.4"/>
    <n v="177.6"/>
    <d v="2025-01-03T00:00:00"/>
    <d v="2025-01-04T00:00:00"/>
    <s v="O"/>
    <x v="1"/>
    <x v="1"/>
    <x v="0"/>
    <x v="11"/>
    <x v="3"/>
    <x v="0"/>
    <x v="3"/>
  </r>
  <r>
    <s v="TX500077"/>
    <x v="2"/>
    <x v="8"/>
    <n v="103.7"/>
    <n v="829.6"/>
    <d v="2025-01-03T00:00:00"/>
    <d v="2025-01-04T00:00:00"/>
    <s v="F"/>
    <x v="0"/>
    <x v="1"/>
    <x v="0"/>
    <x v="19"/>
    <x v="3"/>
    <x v="0"/>
    <x v="2"/>
  </r>
  <r>
    <s v="TX500078"/>
    <x v="5"/>
    <x v="12"/>
    <n v="58.6"/>
    <n v="234.4"/>
    <d v="2025-01-03T00:00:00"/>
    <d v="2025-01-05T00:00:00"/>
    <s v="M"/>
    <x v="3"/>
    <x v="0"/>
    <x v="0"/>
    <x v="19"/>
    <x v="1"/>
    <x v="0"/>
    <x v="1"/>
  </r>
  <r>
    <s v="TX500079"/>
    <x v="9"/>
    <x v="12"/>
    <n v="54.8"/>
    <n v="219.2"/>
    <d v="2025-01-03T00:00:00"/>
    <d v="2025-01-07T00:00:00"/>
    <s v="F"/>
    <x v="2"/>
    <x v="1"/>
    <x v="0"/>
    <x v="13"/>
    <x v="5"/>
    <x v="0"/>
    <x v="2"/>
  </r>
  <r>
    <s v="TX500080"/>
    <x v="12"/>
    <x v="2"/>
    <n v="78.8"/>
    <n v="236.39999999999998"/>
    <d v="2025-01-03T00:00:00"/>
    <d v="2025-01-09T00:00:00"/>
    <s v="F"/>
    <x v="4"/>
    <x v="1"/>
    <x v="0"/>
    <x v="21"/>
    <x v="4"/>
    <x v="0"/>
    <x v="2"/>
  </r>
  <r>
    <s v="TX500081"/>
    <x v="18"/>
    <x v="9"/>
    <n v="36.799999999999997"/>
    <n v="184"/>
    <d v="2025-01-03T00:00:00"/>
    <d v="2025-01-06T00:00:00"/>
    <s v="M"/>
    <x v="4"/>
    <x v="1"/>
    <x v="0"/>
    <x v="22"/>
    <x v="2"/>
    <x v="0"/>
    <x v="1"/>
  </r>
  <r>
    <s v="TX500082"/>
    <x v="6"/>
    <x v="13"/>
    <n v="50.6"/>
    <n v="303.60000000000002"/>
    <d v="2025-01-03T00:00:00"/>
    <d v="2025-01-05T00:00:00"/>
    <s v="F"/>
    <x v="3"/>
    <x v="0"/>
    <x v="0"/>
    <x v="3"/>
    <x v="1"/>
    <x v="0"/>
    <x v="2"/>
  </r>
  <r>
    <s v="TX500083"/>
    <x v="15"/>
    <x v="2"/>
    <n v="36.799999999999997"/>
    <n v="110.39999999999999"/>
    <d v="2025-01-03T00:00:00"/>
    <d v="2025-01-03T00:00:00"/>
    <s v="M"/>
    <x v="2"/>
    <x v="1"/>
    <x v="0"/>
    <x v="3"/>
    <x v="7"/>
    <x v="0"/>
    <x v="1"/>
  </r>
  <r>
    <s v="TX500084"/>
    <x v="8"/>
    <x v="11"/>
    <n v="41.8"/>
    <n v="376.2"/>
    <d v="2025-01-04T00:00:00"/>
    <d v="2025-01-10T00:00:00"/>
    <s v="F"/>
    <x v="3"/>
    <x v="0"/>
    <x v="0"/>
    <x v="3"/>
    <x v="4"/>
    <x v="0"/>
    <x v="2"/>
  </r>
  <r>
    <s v="TX500085"/>
    <x v="18"/>
    <x v="0"/>
    <n v="77.3"/>
    <n v="77.3"/>
    <d v="2025-01-04T00:00:00"/>
    <d v="2025-01-05T00:00:00"/>
    <s v="M"/>
    <x v="4"/>
    <x v="4"/>
    <x v="0"/>
    <x v="3"/>
    <x v="3"/>
    <x v="0"/>
    <x v="1"/>
  </r>
  <r>
    <s v="TX500086"/>
    <x v="8"/>
    <x v="12"/>
    <n v="19.8"/>
    <n v="79.2"/>
    <d v="2025-01-04T00:00:00"/>
    <d v="2025-01-10T00:00:00"/>
    <s v="M"/>
    <x v="1"/>
    <x v="2"/>
    <x v="0"/>
    <x v="3"/>
    <x v="4"/>
    <x v="0"/>
    <x v="1"/>
  </r>
  <r>
    <s v="TX500087"/>
    <x v="13"/>
    <x v="12"/>
    <n v="15.5"/>
    <n v="62"/>
    <d v="2025-01-04T00:00:00"/>
    <d v="2025-01-05T00:00:00"/>
    <s v="F"/>
    <x v="1"/>
    <x v="2"/>
    <x v="0"/>
    <x v="3"/>
    <x v="3"/>
    <x v="0"/>
    <x v="2"/>
  </r>
  <r>
    <s v="TX500088"/>
    <x v="12"/>
    <x v="0"/>
    <n v="46.8"/>
    <n v="46.8"/>
    <d v="2025-01-04T00:00:00"/>
    <d v="2025-01-08T00:00:00"/>
    <s v="M"/>
    <x v="0"/>
    <x v="2"/>
    <x v="0"/>
    <x v="3"/>
    <x v="5"/>
    <x v="0"/>
    <x v="1"/>
  </r>
  <r>
    <s v="TX500089"/>
    <x v="9"/>
    <x v="11"/>
    <n v="28.6"/>
    <n v="257.40000000000003"/>
    <d v="2025-01-04T00:00:00"/>
    <d v="2025-01-08T00:00:00"/>
    <s v="M"/>
    <x v="0"/>
    <x v="2"/>
    <x v="0"/>
    <x v="3"/>
    <x v="5"/>
    <x v="0"/>
    <x v="1"/>
  </r>
  <r>
    <s v="TX500090"/>
    <x v="2"/>
    <x v="0"/>
    <n v="97.7"/>
    <n v="97.7"/>
    <d v="2025-01-04T00:00:00"/>
    <d v="2025-01-07T00:00:00"/>
    <s v="F"/>
    <x v="1"/>
    <x v="0"/>
    <x v="0"/>
    <x v="3"/>
    <x v="2"/>
    <x v="0"/>
    <x v="2"/>
  </r>
  <r>
    <s v="TX500091"/>
    <x v="9"/>
    <x v="9"/>
    <n v="54.7"/>
    <n v="273.5"/>
    <d v="2025-01-04T00:00:00"/>
    <d v="2025-01-07T00:00:00"/>
    <s v=""/>
    <x v="0"/>
    <x v="2"/>
    <x v="0"/>
    <x v="23"/>
    <x v="2"/>
    <x v="0"/>
    <x v="0"/>
  </r>
  <r>
    <s v="TX500092"/>
    <x v="2"/>
    <x v="13"/>
    <n v="130.5"/>
    <n v="783"/>
    <d v="2025-01-04T00:00:00"/>
    <d v="2025-01-06T00:00:00"/>
    <s v="F"/>
    <x v="0"/>
    <x v="1"/>
    <x v="0"/>
    <x v="23"/>
    <x v="1"/>
    <x v="0"/>
    <x v="2"/>
  </r>
  <r>
    <s v="TX500093"/>
    <x v="11"/>
    <x v="1"/>
    <n v="50.4"/>
    <n v="100.8"/>
    <d v="2025-01-04T00:00:00"/>
    <d v="2025-01-06T00:00:00"/>
    <s v="M"/>
    <x v="2"/>
    <x v="2"/>
    <x v="0"/>
    <x v="6"/>
    <x v="1"/>
    <x v="0"/>
    <x v="1"/>
  </r>
  <r>
    <s v="TX500094"/>
    <x v="6"/>
    <x v="15"/>
    <n v="61.5"/>
    <n v="799.5"/>
    <d v="2025-01-04T00:00:00"/>
    <d v="2025-01-05T00:00:00"/>
    <s v=""/>
    <x v="3"/>
    <x v="1"/>
    <x v="0"/>
    <x v="11"/>
    <x v="3"/>
    <x v="0"/>
    <x v="0"/>
  </r>
  <r>
    <s v="TX500095"/>
    <x v="9"/>
    <x v="12"/>
    <n v="30.1"/>
    <n v="120.4"/>
    <d v="2025-01-04T00:00:00"/>
    <d v="2025-01-05T00:00:00"/>
    <s v="F"/>
    <x v="0"/>
    <x v="2"/>
    <x v="0"/>
    <x v="21"/>
    <x v="3"/>
    <x v="0"/>
    <x v="2"/>
  </r>
  <r>
    <s v="TX500096"/>
    <x v="2"/>
    <x v="9"/>
    <n v="74.8"/>
    <n v="374"/>
    <d v="2025-01-04T00:00:00"/>
    <d v="2025-01-05T00:00:00"/>
    <s v="F"/>
    <x v="1"/>
    <x v="0"/>
    <x v="0"/>
    <x v="1"/>
    <x v="3"/>
    <x v="0"/>
    <x v="2"/>
  </r>
  <r>
    <s v="TX500097"/>
    <x v="16"/>
    <x v="2"/>
    <n v="64.900000000000006"/>
    <n v="194.70000000000002"/>
    <d v="2025-01-04T00:00:00"/>
    <d v="2025-01-11T00:00:00"/>
    <s v="M"/>
    <x v="0"/>
    <x v="0"/>
    <x v="0"/>
    <x v="2"/>
    <x v="6"/>
    <x v="0"/>
    <x v="1"/>
  </r>
  <r>
    <s v="TX500098"/>
    <x v="9"/>
    <x v="1"/>
    <n v="50.5"/>
    <n v="101"/>
    <d v="2025-01-04T00:00:00"/>
    <d v="2025-01-06T00:00:00"/>
    <s v="M"/>
    <x v="1"/>
    <x v="0"/>
    <x v="0"/>
    <x v="22"/>
    <x v="1"/>
    <x v="0"/>
    <x v="1"/>
  </r>
  <r>
    <s v="TX500099"/>
    <x v="11"/>
    <x v="3"/>
    <n v="63"/>
    <n v="441"/>
    <d v="2025-01-04T00:00:00"/>
    <d v="2025-01-07T00:00:00"/>
    <s v="M"/>
    <x v="3"/>
    <x v="2"/>
    <x v="0"/>
    <x v="3"/>
    <x v="2"/>
    <x v="0"/>
    <x v="1"/>
  </r>
  <r>
    <s v="TX500100"/>
    <x v="2"/>
    <x v="2"/>
    <n v="93.6"/>
    <n v="280.79999999999995"/>
    <d v="2025-01-04T00:00:00"/>
    <d v="2025-01-17T00:00:00"/>
    <s v="F"/>
    <x v="0"/>
    <x v="2"/>
    <x v="0"/>
    <x v="3"/>
    <x v="10"/>
    <x v="0"/>
    <x v="2"/>
  </r>
  <r>
    <s v="TX500101"/>
    <x v="5"/>
    <x v="17"/>
    <n v="41.4"/>
    <n v="1242"/>
    <d v="2025-01-04T00:00:00"/>
    <d v="2025-01-08T00:00:00"/>
    <s v="M"/>
    <x v="2"/>
    <x v="2"/>
    <x v="0"/>
    <x v="3"/>
    <x v="5"/>
    <x v="0"/>
    <x v="1"/>
  </r>
  <r>
    <s v="TX500102"/>
    <x v="2"/>
    <x v="1"/>
    <n v="160"/>
    <n v="320"/>
    <d v="2025-01-05T00:00:00"/>
    <d v="2025-01-06T00:00:00"/>
    <s v="M"/>
    <x v="2"/>
    <x v="2"/>
    <x v="0"/>
    <x v="5"/>
    <x v="3"/>
    <x v="1"/>
    <x v="1"/>
  </r>
  <r>
    <s v="TX500103"/>
    <x v="19"/>
    <x v="5"/>
    <n v="10.5"/>
    <n v="115.5"/>
    <d v="2025-01-05T00:00:00"/>
    <d v="2025-01-08T00:00:00"/>
    <s v="F"/>
    <x v="4"/>
    <x v="0"/>
    <x v="0"/>
    <x v="8"/>
    <x v="2"/>
    <x v="1"/>
    <x v="2"/>
  </r>
  <r>
    <s v="TX500104"/>
    <x v="10"/>
    <x v="1"/>
    <n v="53"/>
    <n v="106"/>
    <d v="2025-01-05T00:00:00"/>
    <d v="2025-01-05T00:00:00"/>
    <s v="M"/>
    <x v="2"/>
    <x v="4"/>
    <x v="0"/>
    <x v="17"/>
    <x v="7"/>
    <x v="1"/>
    <x v="1"/>
  </r>
  <r>
    <s v="TX500105"/>
    <x v="8"/>
    <x v="2"/>
    <n v="18.5"/>
    <n v="55.5"/>
    <d v="2025-01-05T00:00:00"/>
    <d v="2025-01-10T00:00:00"/>
    <s v="F"/>
    <x v="1"/>
    <x v="2"/>
    <x v="0"/>
    <x v="11"/>
    <x v="0"/>
    <x v="1"/>
    <x v="2"/>
  </r>
  <r>
    <s v="TX500106"/>
    <x v="16"/>
    <x v="2"/>
    <n v="84.5"/>
    <n v="253.5"/>
    <d v="2025-01-05T00:00:00"/>
    <d v="2025-01-07T00:00:00"/>
    <s v="F"/>
    <x v="4"/>
    <x v="1"/>
    <x v="0"/>
    <x v="13"/>
    <x v="1"/>
    <x v="1"/>
    <x v="2"/>
  </r>
  <r>
    <s v="TX500107"/>
    <x v="15"/>
    <x v="3"/>
    <n v="31.2"/>
    <n v="218.4"/>
    <d v="2025-01-05T00:00:00"/>
    <d v="2025-01-05T00:00:00"/>
    <s v="F"/>
    <x v="2"/>
    <x v="2"/>
    <x v="0"/>
    <x v="3"/>
    <x v="7"/>
    <x v="1"/>
    <x v="2"/>
  </r>
  <r>
    <s v="TX500108"/>
    <x v="8"/>
    <x v="16"/>
    <n v="32.6"/>
    <n v="586.80000000000007"/>
    <d v="2025-01-05T00:00:00"/>
    <d v="2025-01-06T00:00:00"/>
    <s v="M"/>
    <x v="1"/>
    <x v="1"/>
    <x v="0"/>
    <x v="3"/>
    <x v="3"/>
    <x v="1"/>
    <x v="1"/>
  </r>
  <r>
    <s v="TX500109"/>
    <x v="10"/>
    <x v="12"/>
    <n v="45.4"/>
    <n v="181.6"/>
    <d v="2025-01-05T00:00:00"/>
    <d v="2025-01-07T00:00:00"/>
    <s v="M"/>
    <x v="1"/>
    <x v="0"/>
    <x v="0"/>
    <x v="3"/>
    <x v="1"/>
    <x v="1"/>
    <x v="1"/>
  </r>
  <r>
    <s v="TX500110"/>
    <x v="2"/>
    <x v="4"/>
    <n v="120"/>
    <n v="1440"/>
    <d v="2025-01-05T00:00:00"/>
    <d v="2025-01-06T00:00:00"/>
    <s v="F"/>
    <x v="2"/>
    <x v="4"/>
    <x v="0"/>
    <x v="3"/>
    <x v="3"/>
    <x v="1"/>
    <x v="2"/>
  </r>
  <r>
    <s v="TX500111"/>
    <x v="0"/>
    <x v="12"/>
    <n v="18.899999999999999"/>
    <n v="75.599999999999994"/>
    <d v="2025-01-05T00:00:00"/>
    <d v="2025-01-07T00:00:00"/>
    <s v="M"/>
    <x v="0"/>
    <x v="2"/>
    <x v="0"/>
    <x v="3"/>
    <x v="1"/>
    <x v="1"/>
    <x v="1"/>
  </r>
  <r>
    <s v="TX500112"/>
    <x v="4"/>
    <x v="0"/>
    <n v="32"/>
    <n v="32"/>
    <d v="2025-01-05T00:00:00"/>
    <d v="2025-01-07T00:00:00"/>
    <s v="F"/>
    <x v="4"/>
    <x v="0"/>
    <x v="0"/>
    <x v="3"/>
    <x v="1"/>
    <x v="1"/>
    <x v="2"/>
  </r>
  <r>
    <s v="TX500113"/>
    <x v="7"/>
    <x v="1"/>
    <n v="37.299999999999997"/>
    <n v="74.599999999999994"/>
    <d v="2025-01-05T00:00:00"/>
    <d v="2025-01-06T00:00:00"/>
    <s v="M"/>
    <x v="2"/>
    <x v="0"/>
    <x v="0"/>
    <x v="3"/>
    <x v="3"/>
    <x v="1"/>
    <x v="1"/>
  </r>
  <r>
    <s v="TX500114"/>
    <x v="18"/>
    <x v="0"/>
    <n v="119.8"/>
    <n v="119.8"/>
    <d v="2025-01-05T00:00:00"/>
    <d v="2025-01-06T00:00:00"/>
    <s v="M"/>
    <x v="1"/>
    <x v="1"/>
    <x v="0"/>
    <x v="3"/>
    <x v="3"/>
    <x v="1"/>
    <x v="1"/>
  </r>
  <r>
    <s v="TX500115"/>
    <x v="10"/>
    <x v="1"/>
    <n v="26.4"/>
    <n v="52.8"/>
    <d v="2025-01-05T00:00:00"/>
    <d v="2025-01-08T00:00:00"/>
    <s v="M"/>
    <x v="2"/>
    <x v="0"/>
    <x v="0"/>
    <x v="3"/>
    <x v="2"/>
    <x v="1"/>
    <x v="1"/>
  </r>
  <r>
    <s v="TX500116"/>
    <x v="6"/>
    <x v="13"/>
    <n v="76.5"/>
    <n v="459"/>
    <d v="2025-01-05T00:00:00"/>
    <d v="2025-01-06T00:00:00"/>
    <s v="F"/>
    <x v="1"/>
    <x v="1"/>
    <x v="0"/>
    <x v="3"/>
    <x v="3"/>
    <x v="1"/>
    <x v="2"/>
  </r>
  <r>
    <s v="TX500117"/>
    <x v="4"/>
    <x v="7"/>
    <n v="45.7"/>
    <n v="457"/>
    <d v="2025-01-05T00:00:00"/>
    <d v="2025-01-06T00:00:00"/>
    <s v="F"/>
    <x v="2"/>
    <x v="0"/>
    <x v="0"/>
    <x v="24"/>
    <x v="3"/>
    <x v="1"/>
    <x v="2"/>
  </r>
  <r>
    <s v="TX500118"/>
    <x v="1"/>
    <x v="4"/>
    <n v="92.6"/>
    <n v="1111.1999999999998"/>
    <d v="2025-01-05T00:00:00"/>
    <d v="2025-01-07T00:00:00"/>
    <s v="F"/>
    <x v="2"/>
    <x v="0"/>
    <x v="0"/>
    <x v="25"/>
    <x v="1"/>
    <x v="1"/>
    <x v="2"/>
  </r>
  <r>
    <s v="TX500119"/>
    <x v="6"/>
    <x v="13"/>
    <n v="60.1"/>
    <n v="360.6"/>
    <d v="2025-01-05T00:00:00"/>
    <d v="2025-01-06T00:00:00"/>
    <s v="M"/>
    <x v="1"/>
    <x v="0"/>
    <x v="0"/>
    <x v="23"/>
    <x v="3"/>
    <x v="1"/>
    <x v="1"/>
  </r>
  <r>
    <s v="TX500120"/>
    <x v="1"/>
    <x v="2"/>
    <n v="73"/>
    <n v="219"/>
    <d v="2025-01-05T00:00:00"/>
    <d v="2025-01-06T00:00:00"/>
    <s v="F"/>
    <x v="3"/>
    <x v="1"/>
    <x v="0"/>
    <x v="6"/>
    <x v="3"/>
    <x v="1"/>
    <x v="2"/>
  </r>
  <r>
    <s v="TX500121"/>
    <x v="6"/>
    <x v="2"/>
    <n v="44.3"/>
    <n v="132.89999999999998"/>
    <d v="2025-01-05T00:00:00"/>
    <d v="2025-01-09T00:00:00"/>
    <s v=""/>
    <x v="2"/>
    <x v="2"/>
    <x v="0"/>
    <x v="6"/>
    <x v="5"/>
    <x v="1"/>
    <x v="0"/>
  </r>
  <r>
    <s v="TX500122"/>
    <x v="6"/>
    <x v="2"/>
    <n v="63.3"/>
    <n v="189.89999999999998"/>
    <d v="2025-01-05T00:00:00"/>
    <d v="2025-01-06T00:00:00"/>
    <s v="M"/>
    <x v="2"/>
    <x v="0"/>
    <x v="0"/>
    <x v="6"/>
    <x v="3"/>
    <x v="1"/>
    <x v="1"/>
  </r>
  <r>
    <s v="TX500123"/>
    <x v="12"/>
    <x v="0"/>
    <n v="66.8"/>
    <n v="66.8"/>
    <d v="2025-01-05T00:00:00"/>
    <d v="2025-01-06T00:00:00"/>
    <s v="F"/>
    <x v="1"/>
    <x v="0"/>
    <x v="0"/>
    <x v="6"/>
    <x v="3"/>
    <x v="1"/>
    <x v="2"/>
  </r>
  <r>
    <s v="TX500124"/>
    <x v="2"/>
    <x v="1"/>
    <n v="59.7"/>
    <n v="119.4"/>
    <d v="2025-01-05T00:00:00"/>
    <d v="2025-01-06T00:00:00"/>
    <s v="F"/>
    <x v="0"/>
    <x v="0"/>
    <x v="0"/>
    <x v="7"/>
    <x v="3"/>
    <x v="1"/>
    <x v="2"/>
  </r>
  <r>
    <s v="TX500125"/>
    <x v="1"/>
    <x v="13"/>
    <n v="92"/>
    <n v="552"/>
    <d v="2025-01-05T00:00:00"/>
    <d v="2025-01-07T00:00:00"/>
    <s v="M"/>
    <x v="0"/>
    <x v="4"/>
    <x v="0"/>
    <x v="7"/>
    <x v="1"/>
    <x v="1"/>
    <x v="1"/>
  </r>
  <r>
    <s v="TX500126"/>
    <x v="7"/>
    <x v="1"/>
    <n v="87.6"/>
    <n v="175.2"/>
    <d v="2025-01-05T00:00:00"/>
    <d v="2025-01-07T00:00:00"/>
    <s v="M"/>
    <x v="1"/>
    <x v="1"/>
    <x v="0"/>
    <x v="8"/>
    <x v="1"/>
    <x v="1"/>
    <x v="1"/>
  </r>
  <r>
    <s v="TX500127"/>
    <x v="6"/>
    <x v="2"/>
    <n v="84.5"/>
    <n v="253.5"/>
    <d v="2025-01-05T00:00:00"/>
    <d v="2025-01-06T00:00:00"/>
    <s v="F"/>
    <x v="1"/>
    <x v="1"/>
    <x v="0"/>
    <x v="8"/>
    <x v="3"/>
    <x v="1"/>
    <x v="2"/>
  </r>
  <r>
    <s v="TX500128"/>
    <x v="1"/>
    <x v="1"/>
    <n v="116.3"/>
    <n v="232.6"/>
    <d v="2025-01-06T00:00:00"/>
    <d v="2025-01-08T00:00:00"/>
    <s v="M"/>
    <x v="2"/>
    <x v="2"/>
    <x v="0"/>
    <x v="8"/>
    <x v="1"/>
    <x v="1"/>
    <x v="1"/>
  </r>
  <r>
    <s v="TX500129"/>
    <x v="6"/>
    <x v="9"/>
    <n v="52.7"/>
    <n v="263.5"/>
    <d v="2025-01-06T00:00:00"/>
    <d v="2025-01-10T00:00:00"/>
    <s v="M"/>
    <x v="0"/>
    <x v="0"/>
    <x v="0"/>
    <x v="8"/>
    <x v="5"/>
    <x v="1"/>
    <x v="1"/>
  </r>
  <r>
    <s v="TX500130"/>
    <x v="16"/>
    <x v="2"/>
    <n v="34.200000000000003"/>
    <n v="102.60000000000001"/>
    <d v="2025-01-06T00:00:00"/>
    <d v="2025-01-07T00:00:00"/>
    <s v="M"/>
    <x v="0"/>
    <x v="2"/>
    <x v="0"/>
    <x v="26"/>
    <x v="3"/>
    <x v="1"/>
    <x v="1"/>
  </r>
  <r>
    <s v="TX500131"/>
    <x v="9"/>
    <x v="0"/>
    <n v="23.3"/>
    <n v="23.3"/>
    <d v="2025-01-06T00:00:00"/>
    <d v="2025-01-15T00:00:00"/>
    <s v="O"/>
    <x v="2"/>
    <x v="2"/>
    <x v="0"/>
    <x v="9"/>
    <x v="8"/>
    <x v="1"/>
    <x v="3"/>
  </r>
  <r>
    <s v="TX500132"/>
    <x v="0"/>
    <x v="18"/>
    <n v="25.9"/>
    <n v="673.4"/>
    <d v="2025-01-06T00:00:00"/>
    <d v="2025-01-09T00:00:00"/>
    <s v="F"/>
    <x v="4"/>
    <x v="1"/>
    <x v="0"/>
    <x v="9"/>
    <x v="2"/>
    <x v="1"/>
    <x v="2"/>
  </r>
  <r>
    <s v="TX500133"/>
    <x v="6"/>
    <x v="19"/>
    <n v="54.9"/>
    <n v="1592.1"/>
    <d v="2025-01-06T00:00:00"/>
    <d v="2025-01-07T00:00:00"/>
    <s v="M"/>
    <x v="1"/>
    <x v="2"/>
    <x v="0"/>
    <x v="9"/>
    <x v="3"/>
    <x v="1"/>
    <x v="1"/>
  </r>
  <r>
    <s v="TX500134"/>
    <x v="5"/>
    <x v="2"/>
    <n v="75.8"/>
    <n v="227.39999999999998"/>
    <d v="2025-01-06T00:00:00"/>
    <d v="2025-01-11T00:00:00"/>
    <s v="O"/>
    <x v="1"/>
    <x v="0"/>
    <x v="0"/>
    <x v="18"/>
    <x v="0"/>
    <x v="1"/>
    <x v="3"/>
  </r>
  <r>
    <s v="TX500135"/>
    <x v="1"/>
    <x v="11"/>
    <n v="44.9"/>
    <n v="404.09999999999997"/>
    <d v="2025-01-06T00:00:00"/>
    <d v="2025-01-09T00:00:00"/>
    <s v="F"/>
    <x v="2"/>
    <x v="2"/>
    <x v="0"/>
    <x v="2"/>
    <x v="2"/>
    <x v="1"/>
    <x v="2"/>
  </r>
  <r>
    <s v="TX500136"/>
    <x v="11"/>
    <x v="1"/>
    <n v="48.8"/>
    <n v="97.6"/>
    <d v="2025-01-06T00:00:00"/>
    <d v="2025-01-08T00:00:00"/>
    <s v="F"/>
    <x v="3"/>
    <x v="0"/>
    <x v="0"/>
    <x v="27"/>
    <x v="1"/>
    <x v="1"/>
    <x v="2"/>
  </r>
  <r>
    <s v="TX500137"/>
    <x v="15"/>
    <x v="0"/>
    <n v="20.3"/>
    <n v="20.3"/>
    <d v="2025-01-06T00:00:00"/>
    <d v="2025-01-07T00:00:00"/>
    <s v="F"/>
    <x v="0"/>
    <x v="2"/>
    <x v="0"/>
    <x v="22"/>
    <x v="3"/>
    <x v="1"/>
    <x v="2"/>
  </r>
  <r>
    <s v="TX500138"/>
    <x v="5"/>
    <x v="3"/>
    <n v="36.4"/>
    <n v="254.79999999999998"/>
    <d v="2025-01-06T00:00:00"/>
    <d v="2025-01-09T00:00:00"/>
    <s v="F"/>
    <x v="0"/>
    <x v="1"/>
    <x v="0"/>
    <x v="3"/>
    <x v="2"/>
    <x v="1"/>
    <x v="2"/>
  </r>
  <r>
    <s v="TX500139"/>
    <x v="0"/>
    <x v="0"/>
    <n v="19"/>
    <n v="19"/>
    <d v="2025-01-06T00:00:00"/>
    <d v="2025-01-11T00:00:00"/>
    <s v="F"/>
    <x v="1"/>
    <x v="2"/>
    <x v="0"/>
    <x v="3"/>
    <x v="0"/>
    <x v="1"/>
    <x v="2"/>
  </r>
  <r>
    <s v="TX500140"/>
    <x v="8"/>
    <x v="0"/>
    <n v="17.8"/>
    <n v="17.8"/>
    <d v="2025-01-06T00:00:00"/>
    <d v="2025-01-06T00:00:00"/>
    <s v="M"/>
    <x v="0"/>
    <x v="0"/>
    <x v="0"/>
    <x v="3"/>
    <x v="7"/>
    <x v="1"/>
    <x v="1"/>
  </r>
  <r>
    <s v="TX500141"/>
    <x v="2"/>
    <x v="13"/>
    <n v="139.6"/>
    <n v="837.59999999999991"/>
    <d v="2025-01-06T00:00:00"/>
    <d v="2025-01-09T00:00:00"/>
    <s v="M"/>
    <x v="0"/>
    <x v="0"/>
    <x v="0"/>
    <x v="3"/>
    <x v="2"/>
    <x v="1"/>
    <x v="1"/>
  </r>
  <r>
    <s v="TX500142"/>
    <x v="9"/>
    <x v="0"/>
    <n v="31.7"/>
    <n v="31.7"/>
    <d v="2025-01-06T00:00:00"/>
    <d v="2025-01-06T00:00:00"/>
    <s v=""/>
    <x v="0"/>
    <x v="0"/>
    <x v="0"/>
    <x v="3"/>
    <x v="7"/>
    <x v="1"/>
    <x v="0"/>
  </r>
  <r>
    <s v="TX500143"/>
    <x v="8"/>
    <x v="8"/>
    <n v="26.3"/>
    <n v="210.4"/>
    <d v="2025-01-06T00:00:00"/>
    <d v="2025-01-09T00:00:00"/>
    <s v="F"/>
    <x v="4"/>
    <x v="4"/>
    <x v="0"/>
    <x v="3"/>
    <x v="2"/>
    <x v="1"/>
    <x v="2"/>
  </r>
  <r>
    <s v="TX500144"/>
    <x v="4"/>
    <x v="1"/>
    <n v="47.8"/>
    <n v="95.6"/>
    <d v="2025-01-06T00:00:00"/>
    <d v="2025-01-07T00:00:00"/>
    <s v=""/>
    <x v="0"/>
    <x v="0"/>
    <x v="0"/>
    <x v="3"/>
    <x v="3"/>
    <x v="1"/>
    <x v="0"/>
  </r>
  <r>
    <s v="TX500145"/>
    <x v="9"/>
    <x v="2"/>
    <n v="69.400000000000006"/>
    <n v="208.20000000000002"/>
    <d v="2025-01-06T00:00:00"/>
    <d v="2025-01-10T00:00:00"/>
    <s v="F"/>
    <x v="0"/>
    <x v="0"/>
    <x v="0"/>
    <x v="3"/>
    <x v="5"/>
    <x v="1"/>
    <x v="2"/>
  </r>
  <r>
    <s v="TX500146"/>
    <x v="18"/>
    <x v="4"/>
    <n v="25.8"/>
    <n v="309.60000000000002"/>
    <d v="2025-01-06T00:00:00"/>
    <d v="2025-01-07T00:00:00"/>
    <s v="M"/>
    <x v="4"/>
    <x v="4"/>
    <x v="0"/>
    <x v="3"/>
    <x v="3"/>
    <x v="1"/>
    <x v="1"/>
  </r>
  <r>
    <s v="TX500147"/>
    <x v="0"/>
    <x v="12"/>
    <n v="26.4"/>
    <n v="105.6"/>
    <d v="2025-01-06T00:00:00"/>
    <d v="2025-01-07T00:00:00"/>
    <s v="M"/>
    <x v="1"/>
    <x v="2"/>
    <x v="0"/>
    <x v="3"/>
    <x v="3"/>
    <x v="1"/>
    <x v="1"/>
  </r>
  <r>
    <s v="TX500148"/>
    <x v="8"/>
    <x v="12"/>
    <n v="15.7"/>
    <n v="62.8"/>
    <d v="2025-01-06T00:00:00"/>
    <d v="2025-01-07T00:00:00"/>
    <s v="M"/>
    <x v="2"/>
    <x v="0"/>
    <x v="0"/>
    <x v="3"/>
    <x v="3"/>
    <x v="1"/>
    <x v="1"/>
  </r>
  <r>
    <s v="TX500149"/>
    <x v="8"/>
    <x v="0"/>
    <n v="39.700000000000003"/>
    <n v="39.700000000000003"/>
    <d v="2025-01-06T00:00:00"/>
    <d v="2025-01-10T00:00:00"/>
    <s v="M"/>
    <x v="0"/>
    <x v="0"/>
    <x v="0"/>
    <x v="3"/>
    <x v="5"/>
    <x v="1"/>
    <x v="1"/>
  </r>
  <r>
    <s v="TX500150"/>
    <x v="10"/>
    <x v="12"/>
    <n v="31.1"/>
    <n v="124.4"/>
    <d v="2025-01-06T00:00:00"/>
    <d v="2025-01-08T00:00:00"/>
    <s v="F"/>
    <x v="2"/>
    <x v="1"/>
    <x v="0"/>
    <x v="3"/>
    <x v="1"/>
    <x v="1"/>
    <x v="2"/>
  </r>
  <r>
    <s v="TX500151"/>
    <x v="13"/>
    <x v="20"/>
    <n v="23.4"/>
    <n v="351"/>
    <d v="2025-01-06T00:00:00"/>
    <d v="2025-01-15T00:00:00"/>
    <s v="M"/>
    <x v="0"/>
    <x v="0"/>
    <x v="0"/>
    <x v="3"/>
    <x v="8"/>
    <x v="1"/>
    <x v="1"/>
  </r>
  <r>
    <s v="TX500152"/>
    <x v="1"/>
    <x v="12"/>
    <n v="57.1"/>
    <n v="228.4"/>
    <d v="2025-01-07T00:00:00"/>
    <d v="2025-01-08T00:00:00"/>
    <s v="M"/>
    <x v="2"/>
    <x v="0"/>
    <x v="0"/>
    <x v="25"/>
    <x v="3"/>
    <x v="1"/>
    <x v="1"/>
  </r>
  <r>
    <s v="TX500153"/>
    <x v="2"/>
    <x v="9"/>
    <n v="89.9"/>
    <n v="449.5"/>
    <d v="2025-01-07T00:00:00"/>
    <d v="2025-01-07T00:00:00"/>
    <s v="F"/>
    <x v="0"/>
    <x v="3"/>
    <x v="0"/>
    <x v="23"/>
    <x v="7"/>
    <x v="1"/>
    <x v="2"/>
  </r>
  <r>
    <s v="TX500154"/>
    <x v="10"/>
    <x v="3"/>
    <n v="48.1"/>
    <n v="336.7"/>
    <d v="2025-01-07T00:00:00"/>
    <d v="2025-01-09T00:00:00"/>
    <s v="F"/>
    <x v="1"/>
    <x v="2"/>
    <x v="0"/>
    <x v="6"/>
    <x v="1"/>
    <x v="1"/>
    <x v="2"/>
  </r>
  <r>
    <s v="TX500155"/>
    <x v="8"/>
    <x v="1"/>
    <n v="29.3"/>
    <n v="58.6"/>
    <d v="2025-01-07T00:00:00"/>
    <d v="2025-01-07T00:00:00"/>
    <s v="F"/>
    <x v="1"/>
    <x v="1"/>
    <x v="0"/>
    <x v="6"/>
    <x v="7"/>
    <x v="1"/>
    <x v="2"/>
  </r>
  <r>
    <s v="TX500156"/>
    <x v="8"/>
    <x v="12"/>
    <n v="28.8"/>
    <n v="115.2"/>
    <d v="2025-01-07T00:00:00"/>
    <d v="2025-01-08T00:00:00"/>
    <s v="F"/>
    <x v="0"/>
    <x v="4"/>
    <x v="0"/>
    <x v="6"/>
    <x v="3"/>
    <x v="1"/>
    <x v="2"/>
  </r>
  <r>
    <s v="TX500157"/>
    <x v="10"/>
    <x v="9"/>
    <n v="40.5"/>
    <n v="202.5"/>
    <d v="2025-01-07T00:00:00"/>
    <d v="2025-01-11T00:00:00"/>
    <s v="F"/>
    <x v="3"/>
    <x v="0"/>
    <x v="0"/>
    <x v="6"/>
    <x v="5"/>
    <x v="1"/>
    <x v="2"/>
  </r>
  <r>
    <s v="TX500158"/>
    <x v="18"/>
    <x v="21"/>
    <n v="65.099999999999994"/>
    <n v="911.39999999999986"/>
    <d v="2025-01-07T00:00:00"/>
    <d v="2025-01-08T00:00:00"/>
    <s v="F"/>
    <x v="4"/>
    <x v="0"/>
    <x v="0"/>
    <x v="7"/>
    <x v="3"/>
    <x v="1"/>
    <x v="2"/>
  </r>
  <r>
    <s v="TX500159"/>
    <x v="8"/>
    <x v="12"/>
    <n v="40.299999999999997"/>
    <n v="161.19999999999999"/>
    <d v="2025-01-07T00:00:00"/>
    <d v="2025-01-12T00:00:00"/>
    <s v="F"/>
    <x v="2"/>
    <x v="0"/>
    <x v="0"/>
    <x v="7"/>
    <x v="0"/>
    <x v="1"/>
    <x v="2"/>
  </r>
  <r>
    <s v="TX500160"/>
    <x v="6"/>
    <x v="9"/>
    <n v="51.8"/>
    <n v="259"/>
    <d v="2025-01-07T00:00:00"/>
    <d v="2025-01-08T00:00:00"/>
    <s v="M"/>
    <x v="2"/>
    <x v="2"/>
    <x v="0"/>
    <x v="8"/>
    <x v="3"/>
    <x v="1"/>
    <x v="1"/>
  </r>
  <r>
    <s v="TX500161"/>
    <x v="6"/>
    <x v="2"/>
    <n v="61.3"/>
    <n v="183.89999999999998"/>
    <d v="2025-01-07T00:00:00"/>
    <d v="2025-01-08T00:00:00"/>
    <s v="F"/>
    <x v="3"/>
    <x v="0"/>
    <x v="0"/>
    <x v="8"/>
    <x v="3"/>
    <x v="1"/>
    <x v="2"/>
  </r>
  <r>
    <s v="TX500162"/>
    <x v="2"/>
    <x v="12"/>
    <n v="122.5"/>
    <n v="490"/>
    <d v="2025-01-07T00:00:00"/>
    <d v="2025-01-08T00:00:00"/>
    <s v="M"/>
    <x v="0"/>
    <x v="0"/>
    <x v="0"/>
    <x v="8"/>
    <x v="3"/>
    <x v="1"/>
    <x v="1"/>
  </r>
  <r>
    <s v="TX500163"/>
    <x v="0"/>
    <x v="11"/>
    <n v="12.5"/>
    <n v="112.5"/>
    <d v="2025-01-07T00:00:00"/>
    <d v="2025-01-08T00:00:00"/>
    <s v=""/>
    <x v="1"/>
    <x v="2"/>
    <x v="0"/>
    <x v="8"/>
    <x v="3"/>
    <x v="1"/>
    <x v="0"/>
  </r>
  <r>
    <s v="TX500164"/>
    <x v="15"/>
    <x v="8"/>
    <n v="37.5"/>
    <n v="300"/>
    <d v="2025-01-07T00:00:00"/>
    <d v="2025-01-08T00:00:00"/>
    <s v="F"/>
    <x v="0"/>
    <x v="0"/>
    <x v="0"/>
    <x v="9"/>
    <x v="3"/>
    <x v="1"/>
    <x v="2"/>
  </r>
  <r>
    <s v="TX500165"/>
    <x v="6"/>
    <x v="2"/>
    <n v="40"/>
    <n v="120"/>
    <d v="2025-01-07T00:00:00"/>
    <d v="2025-01-10T00:00:00"/>
    <s v="M"/>
    <x v="0"/>
    <x v="4"/>
    <x v="0"/>
    <x v="11"/>
    <x v="2"/>
    <x v="1"/>
    <x v="1"/>
  </r>
  <r>
    <s v="TX500166"/>
    <x v="17"/>
    <x v="8"/>
    <n v="38.5"/>
    <n v="308"/>
    <d v="2025-01-07T00:00:00"/>
    <d v="2025-01-12T00:00:00"/>
    <s v="F"/>
    <x v="2"/>
    <x v="1"/>
    <x v="0"/>
    <x v="11"/>
    <x v="0"/>
    <x v="1"/>
    <x v="2"/>
  </r>
  <r>
    <s v="TX500167"/>
    <x v="2"/>
    <x v="1"/>
    <n v="86.4"/>
    <n v="172.8"/>
    <d v="2025-01-07T00:00:00"/>
    <d v="2025-01-09T00:00:00"/>
    <s v="F"/>
    <x v="0"/>
    <x v="0"/>
    <x v="0"/>
    <x v="18"/>
    <x v="1"/>
    <x v="1"/>
    <x v="2"/>
  </r>
  <r>
    <s v="TX500168"/>
    <x v="10"/>
    <x v="0"/>
    <n v="50.7"/>
    <n v="50.7"/>
    <d v="2025-01-07T00:00:00"/>
    <d v="2025-01-11T00:00:00"/>
    <s v="F"/>
    <x v="1"/>
    <x v="0"/>
    <x v="0"/>
    <x v="18"/>
    <x v="5"/>
    <x v="1"/>
    <x v="2"/>
  </r>
  <r>
    <s v="TX500169"/>
    <x v="10"/>
    <x v="1"/>
    <n v="61"/>
    <n v="122"/>
    <d v="2025-01-07T00:00:00"/>
    <d v="2025-01-18T00:00:00"/>
    <s v="F"/>
    <x v="4"/>
    <x v="1"/>
    <x v="0"/>
    <x v="18"/>
    <x v="11"/>
    <x v="1"/>
    <x v="2"/>
  </r>
  <r>
    <s v="TX500170"/>
    <x v="4"/>
    <x v="1"/>
    <n v="19.899999999999999"/>
    <n v="39.799999999999997"/>
    <d v="2025-01-07T00:00:00"/>
    <d v="2025-01-10T00:00:00"/>
    <s v="F"/>
    <x v="1"/>
    <x v="0"/>
    <x v="0"/>
    <x v="28"/>
    <x v="2"/>
    <x v="1"/>
    <x v="2"/>
  </r>
  <r>
    <s v="TX500171"/>
    <x v="5"/>
    <x v="0"/>
    <n v="78.3"/>
    <n v="78.3"/>
    <d v="2025-01-07T00:00:00"/>
    <d v="2025-01-07T00:00:00"/>
    <s v="F"/>
    <x v="0"/>
    <x v="2"/>
    <x v="0"/>
    <x v="1"/>
    <x v="7"/>
    <x v="1"/>
    <x v="2"/>
  </r>
  <r>
    <s v="TX500172"/>
    <x v="0"/>
    <x v="10"/>
    <n v="10.4"/>
    <n v="197.6"/>
    <d v="2025-01-07T00:00:00"/>
    <d v="2025-01-09T00:00:00"/>
    <s v="M"/>
    <x v="0"/>
    <x v="2"/>
    <x v="0"/>
    <x v="2"/>
    <x v="1"/>
    <x v="1"/>
    <x v="1"/>
  </r>
  <r>
    <s v="TX500173"/>
    <x v="10"/>
    <x v="0"/>
    <n v="36.1"/>
    <n v="36.1"/>
    <d v="2025-01-07T00:00:00"/>
    <d v="2025-01-10T00:00:00"/>
    <s v="M"/>
    <x v="3"/>
    <x v="2"/>
    <x v="0"/>
    <x v="3"/>
    <x v="2"/>
    <x v="1"/>
    <x v="1"/>
  </r>
  <r>
    <s v="TX500174"/>
    <x v="14"/>
    <x v="1"/>
    <n v="17.3"/>
    <n v="34.6"/>
    <d v="2025-01-07T00:00:00"/>
    <d v="2025-01-09T00:00:00"/>
    <s v="F"/>
    <x v="1"/>
    <x v="2"/>
    <x v="0"/>
    <x v="3"/>
    <x v="1"/>
    <x v="1"/>
    <x v="2"/>
  </r>
  <r>
    <s v="TX500175"/>
    <x v="10"/>
    <x v="1"/>
    <n v="30.5"/>
    <n v="61"/>
    <d v="2025-01-07T00:00:00"/>
    <d v="2025-01-08T00:00:00"/>
    <s v="F"/>
    <x v="1"/>
    <x v="2"/>
    <x v="0"/>
    <x v="3"/>
    <x v="3"/>
    <x v="1"/>
    <x v="2"/>
  </r>
  <r>
    <s v="TX500176"/>
    <x v="18"/>
    <x v="22"/>
    <n v="70.099999999999994"/>
    <n v="4346.2"/>
    <d v="2025-01-07T00:00:00"/>
    <d v="2025-01-07T00:00:00"/>
    <s v="F"/>
    <x v="2"/>
    <x v="0"/>
    <x v="0"/>
    <x v="3"/>
    <x v="7"/>
    <x v="1"/>
    <x v="2"/>
  </r>
  <r>
    <s v="TX500177"/>
    <x v="3"/>
    <x v="0"/>
    <n v="76.099999999999994"/>
    <n v="76.099999999999994"/>
    <d v="2025-01-07T00:00:00"/>
    <d v="2025-01-07T00:00:00"/>
    <s v="F"/>
    <x v="2"/>
    <x v="1"/>
    <x v="0"/>
    <x v="3"/>
    <x v="7"/>
    <x v="1"/>
    <x v="2"/>
  </r>
  <r>
    <s v="TX500178"/>
    <x v="15"/>
    <x v="15"/>
    <n v="34.200000000000003"/>
    <n v="444.6"/>
    <d v="2025-01-07T00:00:00"/>
    <d v="2025-01-08T00:00:00"/>
    <s v="M"/>
    <x v="0"/>
    <x v="0"/>
    <x v="0"/>
    <x v="3"/>
    <x v="3"/>
    <x v="1"/>
    <x v="1"/>
  </r>
  <r>
    <s v="TX500179"/>
    <x v="8"/>
    <x v="9"/>
    <n v="30.3"/>
    <n v="151.5"/>
    <d v="2025-01-07T00:00:00"/>
    <d v="2025-01-12T00:00:00"/>
    <s v="F"/>
    <x v="4"/>
    <x v="0"/>
    <x v="0"/>
    <x v="3"/>
    <x v="0"/>
    <x v="1"/>
    <x v="2"/>
  </r>
  <r>
    <s v="TX500180"/>
    <x v="6"/>
    <x v="9"/>
    <n v="52.5"/>
    <n v="262.5"/>
    <d v="2025-01-07T00:00:00"/>
    <d v="2025-01-11T00:00:00"/>
    <s v=""/>
    <x v="3"/>
    <x v="0"/>
    <x v="0"/>
    <x v="3"/>
    <x v="5"/>
    <x v="1"/>
    <x v="0"/>
  </r>
  <r>
    <s v="TX500181"/>
    <x v="9"/>
    <x v="5"/>
    <n v="28.7"/>
    <n v="315.7"/>
    <d v="2025-01-07T00:00:00"/>
    <d v="2025-01-08T00:00:00"/>
    <s v="F"/>
    <x v="2"/>
    <x v="0"/>
    <x v="0"/>
    <x v="3"/>
    <x v="3"/>
    <x v="1"/>
    <x v="2"/>
  </r>
  <r>
    <s v="TX500182"/>
    <x v="7"/>
    <x v="3"/>
    <n v="52"/>
    <n v="364"/>
    <d v="2025-01-07T00:00:00"/>
    <d v="2025-01-08T00:00:00"/>
    <s v="M"/>
    <x v="1"/>
    <x v="4"/>
    <x v="0"/>
    <x v="3"/>
    <x v="3"/>
    <x v="1"/>
    <x v="1"/>
  </r>
  <r>
    <s v="TX500183"/>
    <x v="0"/>
    <x v="0"/>
    <n v="13.3"/>
    <n v="13.3"/>
    <d v="2025-01-08T00:00:00"/>
    <d v="2025-01-12T00:00:00"/>
    <s v="F"/>
    <x v="2"/>
    <x v="1"/>
    <x v="0"/>
    <x v="3"/>
    <x v="5"/>
    <x v="1"/>
    <x v="2"/>
  </r>
  <r>
    <s v="TX500184"/>
    <x v="0"/>
    <x v="2"/>
    <n v="15.7"/>
    <n v="47.099999999999994"/>
    <d v="2025-01-08T00:00:00"/>
    <d v="2025-01-09T00:00:00"/>
    <s v="F"/>
    <x v="1"/>
    <x v="0"/>
    <x v="0"/>
    <x v="29"/>
    <x v="3"/>
    <x v="1"/>
    <x v="2"/>
  </r>
  <r>
    <s v="TX500185"/>
    <x v="8"/>
    <x v="1"/>
    <n v="25.6"/>
    <n v="51.2"/>
    <d v="2025-01-08T00:00:00"/>
    <d v="2025-01-09T00:00:00"/>
    <s v="M"/>
    <x v="0"/>
    <x v="2"/>
    <x v="0"/>
    <x v="23"/>
    <x v="3"/>
    <x v="1"/>
    <x v="1"/>
  </r>
  <r>
    <s v="TX500186"/>
    <x v="8"/>
    <x v="0"/>
    <n v="43.4"/>
    <n v="43.4"/>
    <d v="2025-01-08T00:00:00"/>
    <d v="2025-01-13T00:00:00"/>
    <s v="M"/>
    <x v="0"/>
    <x v="0"/>
    <x v="0"/>
    <x v="6"/>
    <x v="0"/>
    <x v="1"/>
    <x v="1"/>
  </r>
  <r>
    <s v="TX500187"/>
    <x v="11"/>
    <x v="11"/>
    <n v="33.4"/>
    <n v="300.59999999999997"/>
    <d v="2025-01-08T00:00:00"/>
    <d v="2025-01-08T00:00:00"/>
    <s v="F"/>
    <x v="0"/>
    <x v="0"/>
    <x v="0"/>
    <x v="8"/>
    <x v="7"/>
    <x v="1"/>
    <x v="2"/>
  </r>
  <r>
    <s v="TX500188"/>
    <x v="8"/>
    <x v="10"/>
    <n v="55"/>
    <n v="1045"/>
    <d v="2025-01-08T00:00:00"/>
    <d v="2025-01-09T00:00:00"/>
    <s v="F"/>
    <x v="1"/>
    <x v="2"/>
    <x v="0"/>
    <x v="8"/>
    <x v="3"/>
    <x v="1"/>
    <x v="2"/>
  </r>
  <r>
    <s v="TX500189"/>
    <x v="8"/>
    <x v="2"/>
    <n v="23.6"/>
    <n v="70.800000000000011"/>
    <d v="2025-01-08T00:00:00"/>
    <d v="2025-01-09T00:00:00"/>
    <s v="M"/>
    <x v="0"/>
    <x v="2"/>
    <x v="0"/>
    <x v="8"/>
    <x v="3"/>
    <x v="1"/>
    <x v="1"/>
  </r>
  <r>
    <s v="TX500190"/>
    <x v="12"/>
    <x v="11"/>
    <n v="104"/>
    <n v="936"/>
    <d v="2025-01-08T00:00:00"/>
    <d v="2025-01-10T00:00:00"/>
    <s v="F"/>
    <x v="2"/>
    <x v="2"/>
    <x v="0"/>
    <x v="17"/>
    <x v="1"/>
    <x v="1"/>
    <x v="2"/>
  </r>
  <r>
    <s v="TX500191"/>
    <x v="6"/>
    <x v="1"/>
    <n v="51.8"/>
    <n v="103.6"/>
    <d v="2025-01-08T00:00:00"/>
    <d v="2025-01-12T00:00:00"/>
    <s v=""/>
    <x v="0"/>
    <x v="2"/>
    <x v="0"/>
    <x v="10"/>
    <x v="5"/>
    <x v="1"/>
    <x v="0"/>
  </r>
  <r>
    <s v="TX500192"/>
    <x v="10"/>
    <x v="9"/>
    <n v="34.5"/>
    <n v="172.5"/>
    <d v="2025-01-08T00:00:00"/>
    <d v="2025-01-10T00:00:00"/>
    <s v=""/>
    <x v="2"/>
    <x v="2"/>
    <x v="0"/>
    <x v="11"/>
    <x v="1"/>
    <x v="1"/>
    <x v="0"/>
  </r>
  <r>
    <s v="TX500193"/>
    <x v="6"/>
    <x v="1"/>
    <n v="51.8"/>
    <n v="103.6"/>
    <d v="2025-01-08T00:00:00"/>
    <d v="2025-01-10T00:00:00"/>
    <s v="M"/>
    <x v="1"/>
    <x v="2"/>
    <x v="0"/>
    <x v="30"/>
    <x v="1"/>
    <x v="1"/>
    <x v="1"/>
  </r>
  <r>
    <s v="TX500194"/>
    <x v="18"/>
    <x v="23"/>
    <n v="131.5"/>
    <n v="5654.5"/>
    <d v="2025-01-08T00:00:00"/>
    <d v="2025-01-09T00:00:00"/>
    <s v="F"/>
    <x v="0"/>
    <x v="2"/>
    <x v="0"/>
    <x v="18"/>
    <x v="3"/>
    <x v="1"/>
    <x v="2"/>
  </r>
  <r>
    <s v="TX500195"/>
    <x v="8"/>
    <x v="3"/>
    <n v="47.8"/>
    <n v="334.59999999999997"/>
    <d v="2025-01-08T00:00:00"/>
    <d v="2025-01-08T00:00:00"/>
    <s v="F"/>
    <x v="0"/>
    <x v="0"/>
    <x v="0"/>
    <x v="19"/>
    <x v="7"/>
    <x v="1"/>
    <x v="2"/>
  </r>
  <r>
    <s v="TX500196"/>
    <x v="0"/>
    <x v="1"/>
    <n v="10.199999999999999"/>
    <n v="20.399999999999999"/>
    <d v="2025-01-08T00:00:00"/>
    <d v="2025-01-10T00:00:00"/>
    <s v="F"/>
    <x v="0"/>
    <x v="0"/>
    <x v="0"/>
    <x v="19"/>
    <x v="1"/>
    <x v="1"/>
    <x v="2"/>
  </r>
  <r>
    <s v="TX500197"/>
    <x v="8"/>
    <x v="8"/>
    <n v="41"/>
    <n v="328"/>
    <d v="2025-01-08T00:00:00"/>
    <d v="2025-01-08T00:00:00"/>
    <s v="F"/>
    <x v="1"/>
    <x v="2"/>
    <x v="0"/>
    <x v="19"/>
    <x v="7"/>
    <x v="1"/>
    <x v="2"/>
  </r>
  <r>
    <s v="TX500198"/>
    <x v="10"/>
    <x v="3"/>
    <n v="50.8"/>
    <n v="355.59999999999997"/>
    <d v="2025-01-08T00:00:00"/>
    <d v="2025-01-11T00:00:00"/>
    <s v="F"/>
    <x v="1"/>
    <x v="0"/>
    <x v="0"/>
    <x v="21"/>
    <x v="2"/>
    <x v="1"/>
    <x v="2"/>
  </r>
  <r>
    <s v="TX500199"/>
    <x v="18"/>
    <x v="2"/>
    <n v="39.6"/>
    <n v="118.80000000000001"/>
    <d v="2025-01-08T00:00:00"/>
    <d v="2025-01-09T00:00:00"/>
    <s v="M"/>
    <x v="2"/>
    <x v="2"/>
    <x v="0"/>
    <x v="1"/>
    <x v="3"/>
    <x v="1"/>
    <x v="1"/>
  </r>
  <r>
    <s v="TX500200"/>
    <x v="5"/>
    <x v="1"/>
    <n v="69.5"/>
    <n v="139"/>
    <d v="2025-01-08T00:00:00"/>
    <d v="2025-01-10T00:00:00"/>
    <s v="M"/>
    <x v="0"/>
    <x v="2"/>
    <x v="0"/>
    <x v="2"/>
    <x v="1"/>
    <x v="1"/>
    <x v="1"/>
  </r>
  <r>
    <s v="TX500201"/>
    <x v="8"/>
    <x v="8"/>
    <n v="32.6"/>
    <n v="260.8"/>
    <d v="2025-01-08T00:00:00"/>
    <d v="2025-01-11T00:00:00"/>
    <s v="M"/>
    <x v="1"/>
    <x v="0"/>
    <x v="0"/>
    <x v="3"/>
    <x v="2"/>
    <x v="1"/>
    <x v="1"/>
  </r>
  <r>
    <s v="TX500202"/>
    <x v="7"/>
    <x v="1"/>
    <n v="49.1"/>
    <n v="98.2"/>
    <d v="2025-01-08T00:00:00"/>
    <d v="2025-01-16T00:00:00"/>
    <s v="M"/>
    <x v="3"/>
    <x v="2"/>
    <x v="0"/>
    <x v="3"/>
    <x v="9"/>
    <x v="1"/>
    <x v="1"/>
  </r>
  <r>
    <s v="TX500203"/>
    <x v="6"/>
    <x v="1"/>
    <n v="49.4"/>
    <n v="98.8"/>
    <d v="2025-01-09T00:00:00"/>
    <d v="2025-01-10T00:00:00"/>
    <s v="F"/>
    <x v="2"/>
    <x v="0"/>
    <x v="0"/>
    <x v="3"/>
    <x v="3"/>
    <x v="1"/>
    <x v="2"/>
  </r>
  <r>
    <s v="TX500204"/>
    <x v="7"/>
    <x v="3"/>
    <n v="65.099999999999994"/>
    <n v="455.69999999999993"/>
    <d v="2025-01-09T00:00:00"/>
    <d v="2025-01-12T00:00:00"/>
    <s v="F"/>
    <x v="2"/>
    <x v="2"/>
    <x v="0"/>
    <x v="3"/>
    <x v="2"/>
    <x v="1"/>
    <x v="2"/>
  </r>
  <r>
    <s v="TX500205"/>
    <x v="3"/>
    <x v="1"/>
    <n v="52.1"/>
    <n v="104.2"/>
    <d v="2025-01-09T00:00:00"/>
    <d v="2025-01-13T00:00:00"/>
    <s v="F"/>
    <x v="2"/>
    <x v="0"/>
    <x v="0"/>
    <x v="3"/>
    <x v="5"/>
    <x v="1"/>
    <x v="2"/>
  </r>
  <r>
    <s v="TX500206"/>
    <x v="2"/>
    <x v="12"/>
    <n v="129.19999999999999"/>
    <n v="516.79999999999995"/>
    <d v="2025-01-09T00:00:00"/>
    <d v="2025-01-10T00:00:00"/>
    <s v="F"/>
    <x v="1"/>
    <x v="0"/>
    <x v="0"/>
    <x v="3"/>
    <x v="3"/>
    <x v="1"/>
    <x v="2"/>
  </r>
  <r>
    <s v="TX500207"/>
    <x v="1"/>
    <x v="10"/>
    <n v="81.8"/>
    <n v="1554.2"/>
    <d v="2025-01-09T00:00:00"/>
    <d v="2025-01-09T00:00:00"/>
    <s v="F"/>
    <x v="1"/>
    <x v="1"/>
    <x v="0"/>
    <x v="3"/>
    <x v="7"/>
    <x v="1"/>
    <x v="2"/>
  </r>
  <r>
    <s v="TX500208"/>
    <x v="17"/>
    <x v="0"/>
    <n v="24.9"/>
    <n v="24.9"/>
    <d v="2025-01-09T00:00:00"/>
    <d v="2025-01-13T00:00:00"/>
    <s v="F"/>
    <x v="1"/>
    <x v="0"/>
    <x v="0"/>
    <x v="3"/>
    <x v="5"/>
    <x v="1"/>
    <x v="2"/>
  </r>
  <r>
    <s v="TX500209"/>
    <x v="0"/>
    <x v="2"/>
    <n v="49.4"/>
    <n v="148.19999999999999"/>
    <d v="2025-01-09T00:00:00"/>
    <d v="2025-01-12T00:00:00"/>
    <s v="F"/>
    <x v="4"/>
    <x v="4"/>
    <x v="0"/>
    <x v="3"/>
    <x v="2"/>
    <x v="1"/>
    <x v="2"/>
  </r>
  <r>
    <s v="TX500210"/>
    <x v="8"/>
    <x v="1"/>
    <n v="22.7"/>
    <n v="45.4"/>
    <d v="2025-01-09T00:00:00"/>
    <d v="2025-01-10T00:00:00"/>
    <s v="M"/>
    <x v="3"/>
    <x v="2"/>
    <x v="0"/>
    <x v="3"/>
    <x v="3"/>
    <x v="1"/>
    <x v="1"/>
  </r>
  <r>
    <s v="TX500211"/>
    <x v="1"/>
    <x v="0"/>
    <n v="77.3"/>
    <n v="77.3"/>
    <d v="2025-01-09T00:00:00"/>
    <d v="2025-01-09T00:00:00"/>
    <s v="F"/>
    <x v="0"/>
    <x v="2"/>
    <x v="0"/>
    <x v="6"/>
    <x v="7"/>
    <x v="1"/>
    <x v="2"/>
  </r>
  <r>
    <s v="TX500212"/>
    <x v="1"/>
    <x v="9"/>
    <n v="109.1"/>
    <n v="545.5"/>
    <d v="2025-01-09T00:00:00"/>
    <d v="2025-01-12T00:00:00"/>
    <s v="F"/>
    <x v="0"/>
    <x v="0"/>
    <x v="0"/>
    <x v="6"/>
    <x v="2"/>
    <x v="1"/>
    <x v="2"/>
  </r>
  <r>
    <s v="TX500213"/>
    <x v="2"/>
    <x v="12"/>
    <n v="53.9"/>
    <n v="215.6"/>
    <d v="2025-01-09T00:00:00"/>
    <d v="2025-01-10T00:00:00"/>
    <s v="M"/>
    <x v="0"/>
    <x v="1"/>
    <x v="0"/>
    <x v="8"/>
    <x v="3"/>
    <x v="1"/>
    <x v="1"/>
  </r>
  <r>
    <s v="TX500214"/>
    <x v="9"/>
    <x v="18"/>
    <n v="21.2"/>
    <n v="551.19999999999993"/>
    <d v="2025-01-09T00:00:00"/>
    <d v="2025-01-09T00:00:00"/>
    <s v="F"/>
    <x v="0"/>
    <x v="0"/>
    <x v="0"/>
    <x v="9"/>
    <x v="7"/>
    <x v="1"/>
    <x v="2"/>
  </r>
  <r>
    <s v="TX500215"/>
    <x v="16"/>
    <x v="12"/>
    <n v="69"/>
    <n v="276"/>
    <d v="2025-01-09T00:00:00"/>
    <d v="2025-01-11T00:00:00"/>
    <s v="F"/>
    <x v="1"/>
    <x v="1"/>
    <x v="0"/>
    <x v="18"/>
    <x v="1"/>
    <x v="1"/>
    <x v="2"/>
  </r>
  <r>
    <s v="TX500216"/>
    <x v="6"/>
    <x v="2"/>
    <n v="46.2"/>
    <n v="138.60000000000002"/>
    <d v="2025-01-09T00:00:00"/>
    <d v="2025-01-11T00:00:00"/>
    <s v="F"/>
    <x v="0"/>
    <x v="2"/>
    <x v="0"/>
    <x v="31"/>
    <x v="1"/>
    <x v="1"/>
    <x v="2"/>
  </r>
  <r>
    <s v="TX500217"/>
    <x v="1"/>
    <x v="9"/>
    <n v="97.4"/>
    <n v="487"/>
    <d v="2025-01-09T00:00:00"/>
    <d v="2025-01-13T00:00:00"/>
    <s v="F"/>
    <x v="4"/>
    <x v="2"/>
    <x v="0"/>
    <x v="21"/>
    <x v="5"/>
    <x v="1"/>
    <x v="2"/>
  </r>
  <r>
    <s v="TX500218"/>
    <x v="8"/>
    <x v="9"/>
    <n v="21"/>
    <n v="105"/>
    <d v="2025-01-09T00:00:00"/>
    <d v="2025-01-10T00:00:00"/>
    <s v="M"/>
    <x v="0"/>
    <x v="1"/>
    <x v="0"/>
    <x v="21"/>
    <x v="3"/>
    <x v="1"/>
    <x v="1"/>
  </r>
  <r>
    <s v="TX500219"/>
    <x v="5"/>
    <x v="1"/>
    <n v="32.700000000000003"/>
    <n v="65.400000000000006"/>
    <d v="2025-01-10T00:00:00"/>
    <d v="2025-01-13T00:00:00"/>
    <s v="F"/>
    <x v="1"/>
    <x v="0"/>
    <x v="0"/>
    <x v="2"/>
    <x v="2"/>
    <x v="1"/>
    <x v="2"/>
  </r>
  <r>
    <s v="TX500220"/>
    <x v="6"/>
    <x v="12"/>
    <n v="48"/>
    <n v="192"/>
    <d v="2025-01-10T00:00:00"/>
    <d v="2025-01-11T00:00:00"/>
    <s v="M"/>
    <x v="3"/>
    <x v="0"/>
    <x v="0"/>
    <x v="3"/>
    <x v="3"/>
    <x v="1"/>
    <x v="1"/>
  </r>
  <r>
    <s v="TX500221"/>
    <x v="6"/>
    <x v="2"/>
    <n v="68.2"/>
    <n v="204.60000000000002"/>
    <d v="2025-01-10T00:00:00"/>
    <d v="2025-01-14T00:00:00"/>
    <s v=""/>
    <x v="0"/>
    <x v="2"/>
    <x v="0"/>
    <x v="3"/>
    <x v="5"/>
    <x v="1"/>
    <x v="0"/>
  </r>
  <r>
    <s v="TX500222"/>
    <x v="5"/>
    <x v="0"/>
    <n v="45.4"/>
    <n v="45.4"/>
    <d v="2025-01-10T00:00:00"/>
    <d v="2025-01-12T00:00:00"/>
    <s v="M"/>
    <x v="1"/>
    <x v="0"/>
    <x v="0"/>
    <x v="3"/>
    <x v="1"/>
    <x v="1"/>
    <x v="1"/>
  </r>
  <r>
    <s v="TX500223"/>
    <x v="12"/>
    <x v="1"/>
    <n v="53.9"/>
    <n v="107.8"/>
    <d v="2025-01-10T00:00:00"/>
    <d v="2025-01-11T00:00:00"/>
    <s v="F"/>
    <x v="2"/>
    <x v="0"/>
    <x v="0"/>
    <x v="3"/>
    <x v="3"/>
    <x v="1"/>
    <x v="2"/>
  </r>
  <r>
    <s v="TX500224"/>
    <x v="2"/>
    <x v="12"/>
    <n v="62.1"/>
    <n v="248.4"/>
    <d v="2025-01-10T00:00:00"/>
    <d v="2025-01-14T00:00:00"/>
    <s v="F"/>
    <x v="0"/>
    <x v="0"/>
    <x v="0"/>
    <x v="4"/>
    <x v="5"/>
    <x v="1"/>
    <x v="2"/>
  </r>
  <r>
    <s v="TX500225"/>
    <x v="13"/>
    <x v="3"/>
    <n v="33.1"/>
    <n v="231.70000000000002"/>
    <d v="2025-01-10T00:00:00"/>
    <d v="2025-01-15T00:00:00"/>
    <s v="M"/>
    <x v="1"/>
    <x v="0"/>
    <x v="0"/>
    <x v="6"/>
    <x v="0"/>
    <x v="1"/>
    <x v="1"/>
  </r>
  <r>
    <s v="TX500226"/>
    <x v="18"/>
    <x v="9"/>
    <n v="35.200000000000003"/>
    <n v="176"/>
    <d v="2025-01-10T00:00:00"/>
    <d v="2025-01-10T00:00:00"/>
    <s v="F"/>
    <x v="1"/>
    <x v="0"/>
    <x v="0"/>
    <x v="6"/>
    <x v="7"/>
    <x v="1"/>
    <x v="2"/>
  </r>
  <r>
    <s v="TX500227"/>
    <x v="9"/>
    <x v="2"/>
    <n v="32.1"/>
    <n v="96.300000000000011"/>
    <d v="2025-01-10T00:00:00"/>
    <d v="2025-01-15T00:00:00"/>
    <s v="M"/>
    <x v="3"/>
    <x v="0"/>
    <x v="0"/>
    <x v="8"/>
    <x v="0"/>
    <x v="1"/>
    <x v="1"/>
  </r>
  <r>
    <s v="TX500228"/>
    <x v="11"/>
    <x v="0"/>
    <n v="38.1"/>
    <n v="38.1"/>
    <d v="2025-01-10T00:00:00"/>
    <d v="2025-01-15T00:00:00"/>
    <s v="F"/>
    <x v="0"/>
    <x v="2"/>
    <x v="0"/>
    <x v="8"/>
    <x v="0"/>
    <x v="1"/>
    <x v="2"/>
  </r>
  <r>
    <s v="TX500229"/>
    <x v="8"/>
    <x v="0"/>
    <n v="65.2"/>
    <n v="65.2"/>
    <d v="2025-01-10T00:00:00"/>
    <d v="2025-01-15T00:00:00"/>
    <s v="F"/>
    <x v="3"/>
    <x v="1"/>
    <x v="0"/>
    <x v="8"/>
    <x v="0"/>
    <x v="1"/>
    <x v="2"/>
  </r>
  <r>
    <s v="TX500230"/>
    <x v="10"/>
    <x v="3"/>
    <n v="55.2"/>
    <n v="386.40000000000003"/>
    <d v="2025-01-10T00:00:00"/>
    <d v="2025-01-11T00:00:00"/>
    <s v="M"/>
    <x v="2"/>
    <x v="0"/>
    <x v="0"/>
    <x v="11"/>
    <x v="3"/>
    <x v="1"/>
    <x v="1"/>
  </r>
  <r>
    <s v="TX500231"/>
    <x v="6"/>
    <x v="0"/>
    <n v="62"/>
    <n v="62"/>
    <d v="2025-01-10T00:00:00"/>
    <d v="2025-01-14T00:00:00"/>
    <s v="F"/>
    <x v="0"/>
    <x v="0"/>
    <x v="0"/>
    <x v="11"/>
    <x v="5"/>
    <x v="1"/>
    <x v="2"/>
  </r>
  <r>
    <s v="TX500232"/>
    <x v="7"/>
    <x v="2"/>
    <n v="45.9"/>
    <n v="137.69999999999999"/>
    <d v="2025-01-10T00:00:00"/>
    <d v="2025-01-11T00:00:00"/>
    <s v="F"/>
    <x v="2"/>
    <x v="0"/>
    <x v="0"/>
    <x v="32"/>
    <x v="3"/>
    <x v="1"/>
    <x v="2"/>
  </r>
  <r>
    <s v="TX500233"/>
    <x v="18"/>
    <x v="2"/>
    <n v="58.3"/>
    <n v="174.89999999999998"/>
    <d v="2025-01-10T00:00:00"/>
    <d v="2025-01-10T00:00:00"/>
    <s v="M"/>
    <x v="1"/>
    <x v="1"/>
    <x v="0"/>
    <x v="18"/>
    <x v="7"/>
    <x v="1"/>
    <x v="1"/>
  </r>
  <r>
    <s v="TX500234"/>
    <x v="8"/>
    <x v="1"/>
    <n v="22.3"/>
    <n v="44.6"/>
    <d v="2025-01-10T00:00:00"/>
    <d v="2025-01-13T00:00:00"/>
    <s v="F"/>
    <x v="0"/>
    <x v="2"/>
    <x v="0"/>
    <x v="20"/>
    <x v="2"/>
    <x v="1"/>
    <x v="2"/>
  </r>
  <r>
    <s v="TX500235"/>
    <x v="19"/>
    <x v="9"/>
    <n v="24"/>
    <n v="120"/>
    <d v="2025-01-10T00:00:00"/>
    <d v="2025-01-11T00:00:00"/>
    <s v="M"/>
    <x v="4"/>
    <x v="0"/>
    <x v="0"/>
    <x v="1"/>
    <x v="3"/>
    <x v="1"/>
    <x v="1"/>
  </r>
  <r>
    <s v="TX500236"/>
    <x v="0"/>
    <x v="7"/>
    <n v="21.3"/>
    <n v="213"/>
    <d v="2025-01-10T00:00:00"/>
    <d v="2025-01-10T00:00:00"/>
    <s v="F"/>
    <x v="1"/>
    <x v="2"/>
    <x v="0"/>
    <x v="22"/>
    <x v="7"/>
    <x v="1"/>
    <x v="2"/>
  </r>
  <r>
    <s v="TX500237"/>
    <x v="6"/>
    <x v="24"/>
    <n v="57.8"/>
    <n v="2369.7999999999997"/>
    <d v="2025-01-10T00:00:00"/>
    <d v="2025-01-12T00:00:00"/>
    <s v="F"/>
    <x v="0"/>
    <x v="2"/>
    <x v="0"/>
    <x v="3"/>
    <x v="1"/>
    <x v="1"/>
    <x v="2"/>
  </r>
  <r>
    <s v="TX500238"/>
    <x v="10"/>
    <x v="2"/>
    <n v="67.599999999999994"/>
    <n v="202.79999999999998"/>
    <d v="2025-01-10T00:00:00"/>
    <d v="2025-01-11T00:00:00"/>
    <s v="F"/>
    <x v="0"/>
    <x v="0"/>
    <x v="0"/>
    <x v="3"/>
    <x v="3"/>
    <x v="1"/>
    <x v="2"/>
  </r>
  <r>
    <s v="TX500239"/>
    <x v="6"/>
    <x v="13"/>
    <n v="66.7"/>
    <n v="400.20000000000005"/>
    <d v="2025-01-10T00:00:00"/>
    <d v="2025-01-14T00:00:00"/>
    <s v="M"/>
    <x v="4"/>
    <x v="1"/>
    <x v="0"/>
    <x v="3"/>
    <x v="5"/>
    <x v="1"/>
    <x v="1"/>
  </r>
  <r>
    <s v="TX500240"/>
    <x v="1"/>
    <x v="12"/>
    <n v="53.1"/>
    <n v="212.4"/>
    <d v="2025-01-10T00:00:00"/>
    <d v="2025-01-12T00:00:00"/>
    <s v="F"/>
    <x v="1"/>
    <x v="0"/>
    <x v="0"/>
    <x v="3"/>
    <x v="1"/>
    <x v="1"/>
    <x v="2"/>
  </r>
  <r>
    <s v="TX500241"/>
    <x v="12"/>
    <x v="2"/>
    <n v="57.4"/>
    <n v="172.2"/>
    <d v="2025-01-10T00:00:00"/>
    <d v="2025-01-13T00:00:00"/>
    <s v="F"/>
    <x v="0"/>
    <x v="2"/>
    <x v="0"/>
    <x v="29"/>
    <x v="2"/>
    <x v="1"/>
    <x v="2"/>
  </r>
  <r>
    <s v="TX500242"/>
    <x v="2"/>
    <x v="9"/>
    <n v="58.1"/>
    <n v="290.5"/>
    <d v="2025-01-10T00:00:00"/>
    <d v="2025-01-10T00:00:00"/>
    <s v="M"/>
    <x v="2"/>
    <x v="2"/>
    <x v="0"/>
    <x v="6"/>
    <x v="7"/>
    <x v="1"/>
    <x v="1"/>
  </r>
  <r>
    <s v="TX500243"/>
    <x v="5"/>
    <x v="2"/>
    <n v="31.8"/>
    <n v="95.4"/>
    <d v="2025-01-11T00:00:00"/>
    <d v="2025-01-13T00:00:00"/>
    <s v="M"/>
    <x v="3"/>
    <x v="0"/>
    <x v="0"/>
    <x v="6"/>
    <x v="1"/>
    <x v="1"/>
    <x v="1"/>
  </r>
  <r>
    <s v="TX500244"/>
    <x v="4"/>
    <x v="2"/>
    <n v="31.5"/>
    <n v="94.5"/>
    <d v="2025-01-11T00:00:00"/>
    <d v="2025-01-14T00:00:00"/>
    <s v="M"/>
    <x v="0"/>
    <x v="1"/>
    <x v="0"/>
    <x v="8"/>
    <x v="2"/>
    <x v="1"/>
    <x v="1"/>
  </r>
  <r>
    <s v="TX500245"/>
    <x v="6"/>
    <x v="3"/>
    <n v="55.9"/>
    <n v="391.3"/>
    <d v="2025-01-11T00:00:00"/>
    <d v="2025-01-15T00:00:00"/>
    <s v="F"/>
    <x v="1"/>
    <x v="2"/>
    <x v="0"/>
    <x v="8"/>
    <x v="5"/>
    <x v="1"/>
    <x v="2"/>
  </r>
  <r>
    <s v="TX500246"/>
    <x v="8"/>
    <x v="1"/>
    <n v="36.4"/>
    <n v="72.8"/>
    <d v="2025-01-11T00:00:00"/>
    <d v="2025-01-12T00:00:00"/>
    <s v="M"/>
    <x v="1"/>
    <x v="1"/>
    <x v="0"/>
    <x v="9"/>
    <x v="3"/>
    <x v="1"/>
    <x v="1"/>
  </r>
  <r>
    <s v="TX500247"/>
    <x v="1"/>
    <x v="9"/>
    <n v="47.3"/>
    <n v="236.5"/>
    <d v="2025-01-11T00:00:00"/>
    <d v="2025-01-14T00:00:00"/>
    <s v="M"/>
    <x v="2"/>
    <x v="0"/>
    <x v="0"/>
    <x v="10"/>
    <x v="2"/>
    <x v="1"/>
    <x v="1"/>
  </r>
  <r>
    <s v="TX500248"/>
    <x v="6"/>
    <x v="2"/>
    <n v="82.5"/>
    <n v="247.5"/>
    <d v="2025-01-11T00:00:00"/>
    <d v="2025-01-12T00:00:00"/>
    <s v="M"/>
    <x v="0"/>
    <x v="0"/>
    <x v="0"/>
    <x v="11"/>
    <x v="3"/>
    <x v="1"/>
    <x v="1"/>
  </r>
  <r>
    <s v="TX500249"/>
    <x v="0"/>
    <x v="0"/>
    <n v="14.3"/>
    <n v="14.3"/>
    <d v="2025-01-11T00:00:00"/>
    <d v="2025-01-12T00:00:00"/>
    <s v="F"/>
    <x v="0"/>
    <x v="0"/>
    <x v="0"/>
    <x v="21"/>
    <x v="3"/>
    <x v="1"/>
    <x v="2"/>
  </r>
  <r>
    <s v="TX500250"/>
    <x v="2"/>
    <x v="13"/>
    <n v="57.6"/>
    <n v="345.6"/>
    <d v="2025-01-11T00:00:00"/>
    <d v="2025-01-25T00:00:00"/>
    <s v="F"/>
    <x v="0"/>
    <x v="0"/>
    <x v="0"/>
    <x v="21"/>
    <x v="12"/>
    <x v="1"/>
    <x v="2"/>
  </r>
  <r>
    <s v="TX500251"/>
    <x v="2"/>
    <x v="2"/>
    <n v="142.4"/>
    <n v="427.20000000000005"/>
    <d v="2025-01-11T00:00:00"/>
    <d v="2025-01-13T00:00:00"/>
    <s v="M"/>
    <x v="4"/>
    <x v="1"/>
    <x v="0"/>
    <x v="21"/>
    <x v="1"/>
    <x v="1"/>
    <x v="1"/>
  </r>
  <r>
    <s v="TX500252"/>
    <x v="12"/>
    <x v="0"/>
    <n v="30.2"/>
    <n v="30.2"/>
    <d v="2025-01-11T00:00:00"/>
    <d v="2025-01-15T00:00:00"/>
    <s v="M"/>
    <x v="1"/>
    <x v="2"/>
    <x v="0"/>
    <x v="2"/>
    <x v="5"/>
    <x v="1"/>
    <x v="1"/>
  </r>
  <r>
    <s v="TX500253"/>
    <x v="18"/>
    <x v="2"/>
    <n v="65.3"/>
    <n v="195.89999999999998"/>
    <d v="2025-01-11T00:00:00"/>
    <d v="2025-01-12T00:00:00"/>
    <s v="O"/>
    <x v="1"/>
    <x v="0"/>
    <x v="0"/>
    <x v="33"/>
    <x v="3"/>
    <x v="1"/>
    <x v="3"/>
  </r>
  <r>
    <s v="TX500254"/>
    <x v="0"/>
    <x v="1"/>
    <n v="33.4"/>
    <n v="66.8"/>
    <d v="2025-01-11T00:00:00"/>
    <d v="2025-01-12T00:00:00"/>
    <s v="M"/>
    <x v="1"/>
    <x v="1"/>
    <x v="0"/>
    <x v="22"/>
    <x v="3"/>
    <x v="1"/>
    <x v="1"/>
  </r>
  <r>
    <s v="TX500255"/>
    <x v="7"/>
    <x v="1"/>
    <n v="45.1"/>
    <n v="90.2"/>
    <d v="2025-01-11T00:00:00"/>
    <d v="2025-01-19T00:00:00"/>
    <s v="M"/>
    <x v="0"/>
    <x v="0"/>
    <x v="0"/>
    <x v="34"/>
    <x v="9"/>
    <x v="1"/>
    <x v="1"/>
  </r>
  <r>
    <s v="TX500256"/>
    <x v="2"/>
    <x v="3"/>
    <n v="61.7"/>
    <n v="431.90000000000003"/>
    <d v="2025-01-11T00:00:00"/>
    <d v="2025-01-13T00:00:00"/>
    <s v="F"/>
    <x v="4"/>
    <x v="0"/>
    <x v="0"/>
    <x v="3"/>
    <x v="1"/>
    <x v="1"/>
    <x v="2"/>
  </r>
  <r>
    <s v="TX500257"/>
    <x v="9"/>
    <x v="2"/>
    <n v="45.1"/>
    <n v="135.30000000000001"/>
    <d v="2025-01-12T00:00:00"/>
    <d v="2025-01-13T00:00:00"/>
    <s v="M"/>
    <x v="4"/>
    <x v="1"/>
    <x v="0"/>
    <x v="3"/>
    <x v="3"/>
    <x v="2"/>
    <x v="1"/>
  </r>
  <r>
    <s v="TX500258"/>
    <x v="15"/>
    <x v="9"/>
    <n v="22.7"/>
    <n v="113.5"/>
    <d v="2025-01-12T00:00:00"/>
    <d v="2025-01-17T00:00:00"/>
    <s v="M"/>
    <x v="0"/>
    <x v="2"/>
    <x v="0"/>
    <x v="35"/>
    <x v="0"/>
    <x v="2"/>
    <x v="1"/>
  </r>
  <r>
    <s v="TX500259"/>
    <x v="8"/>
    <x v="0"/>
    <n v="17.600000000000001"/>
    <n v="17.600000000000001"/>
    <d v="2025-01-12T00:00:00"/>
    <d v="2025-01-13T00:00:00"/>
    <s v="F"/>
    <x v="0"/>
    <x v="2"/>
    <x v="0"/>
    <x v="23"/>
    <x v="3"/>
    <x v="2"/>
    <x v="2"/>
  </r>
  <r>
    <s v="TX500260"/>
    <x v="14"/>
    <x v="1"/>
    <n v="11.3"/>
    <n v="22.6"/>
    <d v="2025-01-12T00:00:00"/>
    <d v="2025-01-15T00:00:00"/>
    <s v="F"/>
    <x v="3"/>
    <x v="2"/>
    <x v="0"/>
    <x v="23"/>
    <x v="2"/>
    <x v="2"/>
    <x v="2"/>
  </r>
  <r>
    <s v="TX500261"/>
    <x v="6"/>
    <x v="2"/>
    <n v="53.4"/>
    <n v="160.19999999999999"/>
    <d v="2025-01-12T00:00:00"/>
    <d v="2025-01-15T00:00:00"/>
    <s v="M"/>
    <x v="3"/>
    <x v="2"/>
    <x v="0"/>
    <x v="36"/>
    <x v="2"/>
    <x v="2"/>
    <x v="1"/>
  </r>
  <r>
    <s v="TX500262"/>
    <x v="6"/>
    <x v="5"/>
    <n v="51.1"/>
    <n v="562.1"/>
    <d v="2025-01-12T00:00:00"/>
    <d v="2025-01-14T00:00:00"/>
    <s v="F"/>
    <x v="2"/>
    <x v="2"/>
    <x v="0"/>
    <x v="8"/>
    <x v="1"/>
    <x v="2"/>
    <x v="2"/>
  </r>
  <r>
    <s v="TX500263"/>
    <x v="8"/>
    <x v="1"/>
    <n v="27.5"/>
    <n v="55"/>
    <d v="2025-01-12T00:00:00"/>
    <d v="2025-01-13T00:00:00"/>
    <s v="M"/>
    <x v="4"/>
    <x v="1"/>
    <x v="0"/>
    <x v="8"/>
    <x v="3"/>
    <x v="2"/>
    <x v="1"/>
  </r>
  <r>
    <s v="TX500264"/>
    <x v="9"/>
    <x v="0"/>
    <n v="33.5"/>
    <n v="33.5"/>
    <d v="2025-01-12T00:00:00"/>
    <d v="2025-01-14T00:00:00"/>
    <s v="F"/>
    <x v="0"/>
    <x v="4"/>
    <x v="0"/>
    <x v="8"/>
    <x v="1"/>
    <x v="2"/>
    <x v="2"/>
  </r>
  <r>
    <s v="TX500265"/>
    <x v="4"/>
    <x v="0"/>
    <n v="59.5"/>
    <n v="59.5"/>
    <d v="2025-01-12T00:00:00"/>
    <d v="2025-01-12T00:00:00"/>
    <s v="M"/>
    <x v="0"/>
    <x v="2"/>
    <x v="0"/>
    <x v="18"/>
    <x v="7"/>
    <x v="2"/>
    <x v="1"/>
  </r>
  <r>
    <s v="TX500266"/>
    <x v="17"/>
    <x v="12"/>
    <n v="23.5"/>
    <n v="94"/>
    <d v="2025-01-12T00:00:00"/>
    <d v="2025-01-13T00:00:00"/>
    <s v="F"/>
    <x v="3"/>
    <x v="3"/>
    <x v="0"/>
    <x v="19"/>
    <x v="3"/>
    <x v="2"/>
    <x v="2"/>
  </r>
  <r>
    <s v="TX500267"/>
    <x v="6"/>
    <x v="0"/>
    <n v="49.7"/>
    <n v="49.7"/>
    <d v="2025-01-12T00:00:00"/>
    <d v="2025-01-13T00:00:00"/>
    <s v=""/>
    <x v="1"/>
    <x v="2"/>
    <x v="0"/>
    <x v="20"/>
    <x v="3"/>
    <x v="2"/>
    <x v="0"/>
  </r>
  <r>
    <s v="TX500268"/>
    <x v="6"/>
    <x v="12"/>
    <n v="44.2"/>
    <n v="176.8"/>
    <d v="2025-01-12T00:00:00"/>
    <d v="2025-01-15T00:00:00"/>
    <s v="F"/>
    <x v="0"/>
    <x v="2"/>
    <x v="0"/>
    <x v="21"/>
    <x v="2"/>
    <x v="2"/>
    <x v="2"/>
  </r>
  <r>
    <s v="TX500269"/>
    <x v="8"/>
    <x v="0"/>
    <n v="22.1"/>
    <n v="22.1"/>
    <d v="2025-01-12T00:00:00"/>
    <d v="2025-01-16T00:00:00"/>
    <s v="F"/>
    <x v="1"/>
    <x v="1"/>
    <x v="0"/>
    <x v="33"/>
    <x v="5"/>
    <x v="2"/>
    <x v="2"/>
  </r>
  <r>
    <s v="TX500270"/>
    <x v="6"/>
    <x v="2"/>
    <n v="90.9"/>
    <n v="272.70000000000005"/>
    <d v="2025-01-12T00:00:00"/>
    <d v="2025-01-13T00:00:00"/>
    <s v="F"/>
    <x v="2"/>
    <x v="4"/>
    <x v="0"/>
    <x v="3"/>
    <x v="3"/>
    <x v="2"/>
    <x v="2"/>
  </r>
  <r>
    <s v="TX500271"/>
    <x v="8"/>
    <x v="2"/>
    <n v="44.5"/>
    <n v="133.5"/>
    <d v="2025-01-12T00:00:00"/>
    <d v="2025-01-13T00:00:00"/>
    <s v="F"/>
    <x v="1"/>
    <x v="0"/>
    <x v="0"/>
    <x v="3"/>
    <x v="3"/>
    <x v="2"/>
    <x v="2"/>
  </r>
  <r>
    <s v="TX500272"/>
    <x v="9"/>
    <x v="13"/>
    <n v="32.299999999999997"/>
    <n v="193.79999999999998"/>
    <d v="2025-01-12T00:00:00"/>
    <d v="2025-01-16T00:00:00"/>
    <s v="F"/>
    <x v="0"/>
    <x v="0"/>
    <x v="0"/>
    <x v="3"/>
    <x v="5"/>
    <x v="2"/>
    <x v="2"/>
  </r>
  <r>
    <s v="TX500273"/>
    <x v="17"/>
    <x v="2"/>
    <n v="87.5"/>
    <n v="262.5"/>
    <d v="2025-01-12T00:00:00"/>
    <d v="2025-01-13T00:00:00"/>
    <s v="F"/>
    <x v="1"/>
    <x v="1"/>
    <x v="0"/>
    <x v="3"/>
    <x v="3"/>
    <x v="2"/>
    <x v="2"/>
  </r>
  <r>
    <s v="TX500274"/>
    <x v="16"/>
    <x v="9"/>
    <n v="48.7"/>
    <n v="243.5"/>
    <d v="2025-01-12T00:00:00"/>
    <d v="2025-01-13T00:00:00"/>
    <s v="M"/>
    <x v="2"/>
    <x v="0"/>
    <x v="0"/>
    <x v="3"/>
    <x v="3"/>
    <x v="2"/>
    <x v="1"/>
  </r>
  <r>
    <s v="TX500275"/>
    <x v="0"/>
    <x v="9"/>
    <n v="22.5"/>
    <n v="112.5"/>
    <d v="2025-01-12T00:00:00"/>
    <d v="2025-01-13T00:00:00"/>
    <s v="M"/>
    <x v="0"/>
    <x v="0"/>
    <x v="0"/>
    <x v="3"/>
    <x v="3"/>
    <x v="2"/>
    <x v="1"/>
  </r>
  <r>
    <s v="TX500276"/>
    <x v="1"/>
    <x v="8"/>
    <n v="65.900000000000006"/>
    <n v="527.20000000000005"/>
    <d v="2025-01-12T00:00:00"/>
    <d v="2025-01-15T00:00:00"/>
    <s v="F"/>
    <x v="1"/>
    <x v="2"/>
    <x v="0"/>
    <x v="3"/>
    <x v="2"/>
    <x v="2"/>
    <x v="2"/>
  </r>
  <r>
    <s v="TX500277"/>
    <x v="6"/>
    <x v="9"/>
    <n v="41.9"/>
    <n v="209.5"/>
    <d v="2025-01-12T00:00:00"/>
    <d v="2025-01-19T00:00:00"/>
    <s v=""/>
    <x v="0"/>
    <x v="0"/>
    <x v="0"/>
    <x v="3"/>
    <x v="6"/>
    <x v="2"/>
    <x v="0"/>
  </r>
  <r>
    <s v="TX500278"/>
    <x v="1"/>
    <x v="9"/>
    <n v="67.5"/>
    <n v="337.5"/>
    <d v="2025-01-12T00:00:00"/>
    <d v="2025-01-13T00:00:00"/>
    <s v="F"/>
    <x v="0"/>
    <x v="2"/>
    <x v="0"/>
    <x v="3"/>
    <x v="3"/>
    <x v="2"/>
    <x v="2"/>
  </r>
  <r>
    <s v="TX500279"/>
    <x v="9"/>
    <x v="0"/>
    <n v="60.4"/>
    <n v="60.4"/>
    <d v="2025-01-13T00:00:00"/>
    <d v="2025-01-15T00:00:00"/>
    <s v="F"/>
    <x v="1"/>
    <x v="1"/>
    <x v="0"/>
    <x v="3"/>
    <x v="1"/>
    <x v="2"/>
    <x v="2"/>
  </r>
  <r>
    <s v="TX500280"/>
    <x v="1"/>
    <x v="3"/>
    <n v="30.4"/>
    <n v="212.79999999999998"/>
    <d v="2025-01-13T00:00:00"/>
    <d v="2025-01-16T00:00:00"/>
    <s v="F"/>
    <x v="4"/>
    <x v="0"/>
    <x v="0"/>
    <x v="3"/>
    <x v="2"/>
    <x v="2"/>
    <x v="2"/>
  </r>
  <r>
    <s v="TX500281"/>
    <x v="14"/>
    <x v="1"/>
    <n v="24.5"/>
    <n v="49"/>
    <d v="2025-01-13T00:00:00"/>
    <d v="2025-01-14T00:00:00"/>
    <s v="M"/>
    <x v="3"/>
    <x v="2"/>
    <x v="0"/>
    <x v="3"/>
    <x v="3"/>
    <x v="2"/>
    <x v="1"/>
  </r>
  <r>
    <s v="TX500282"/>
    <x v="2"/>
    <x v="2"/>
    <n v="105.9"/>
    <n v="317.70000000000005"/>
    <d v="2025-01-13T00:00:00"/>
    <d v="2025-01-18T00:00:00"/>
    <s v="M"/>
    <x v="0"/>
    <x v="0"/>
    <x v="0"/>
    <x v="37"/>
    <x v="0"/>
    <x v="2"/>
    <x v="1"/>
  </r>
  <r>
    <s v="TX500283"/>
    <x v="10"/>
    <x v="25"/>
    <n v="25.9"/>
    <n v="621.59999999999991"/>
    <d v="2025-01-13T00:00:00"/>
    <d v="2025-01-14T00:00:00"/>
    <s v="F"/>
    <x v="4"/>
    <x v="0"/>
    <x v="0"/>
    <x v="23"/>
    <x v="3"/>
    <x v="2"/>
    <x v="2"/>
  </r>
  <r>
    <s v="TX500284"/>
    <x v="6"/>
    <x v="2"/>
    <n v="66.8"/>
    <n v="200.39999999999998"/>
    <d v="2025-01-13T00:00:00"/>
    <d v="2025-01-13T00:00:00"/>
    <s v="M"/>
    <x v="0"/>
    <x v="0"/>
    <x v="0"/>
    <x v="23"/>
    <x v="7"/>
    <x v="2"/>
    <x v="1"/>
  </r>
  <r>
    <s v="TX500285"/>
    <x v="6"/>
    <x v="2"/>
    <n v="112.3"/>
    <n v="336.9"/>
    <d v="2025-01-13T00:00:00"/>
    <d v="2025-01-14T00:00:00"/>
    <s v="M"/>
    <x v="2"/>
    <x v="4"/>
    <x v="0"/>
    <x v="6"/>
    <x v="3"/>
    <x v="2"/>
    <x v="1"/>
  </r>
  <r>
    <s v="TX500286"/>
    <x v="1"/>
    <x v="13"/>
    <n v="94.1"/>
    <n v="564.59999999999991"/>
    <d v="2025-01-13T00:00:00"/>
    <d v="2025-01-14T00:00:00"/>
    <s v="F"/>
    <x v="0"/>
    <x v="4"/>
    <x v="0"/>
    <x v="6"/>
    <x v="3"/>
    <x v="2"/>
    <x v="2"/>
  </r>
  <r>
    <s v="TX500287"/>
    <x v="5"/>
    <x v="0"/>
    <n v="40.700000000000003"/>
    <n v="40.700000000000003"/>
    <d v="2025-01-13T00:00:00"/>
    <d v="2025-01-16T00:00:00"/>
    <s v="F"/>
    <x v="2"/>
    <x v="0"/>
    <x v="0"/>
    <x v="6"/>
    <x v="2"/>
    <x v="2"/>
    <x v="2"/>
  </r>
  <r>
    <s v="TX500288"/>
    <x v="3"/>
    <x v="1"/>
    <n v="71.400000000000006"/>
    <n v="142.80000000000001"/>
    <d v="2025-01-13T00:00:00"/>
    <d v="2025-01-14T00:00:00"/>
    <s v="M"/>
    <x v="0"/>
    <x v="0"/>
    <x v="0"/>
    <x v="7"/>
    <x v="3"/>
    <x v="2"/>
    <x v="1"/>
  </r>
  <r>
    <s v="TX500289"/>
    <x v="0"/>
    <x v="16"/>
    <n v="15.6"/>
    <n v="280.8"/>
    <d v="2025-01-13T00:00:00"/>
    <d v="2025-01-14T00:00:00"/>
    <s v="M"/>
    <x v="1"/>
    <x v="3"/>
    <x v="0"/>
    <x v="8"/>
    <x v="3"/>
    <x v="2"/>
    <x v="1"/>
  </r>
  <r>
    <s v="TX500290"/>
    <x v="10"/>
    <x v="12"/>
    <n v="37.799999999999997"/>
    <n v="151.19999999999999"/>
    <d v="2025-01-13T00:00:00"/>
    <d v="2025-01-14T00:00:00"/>
    <s v="M"/>
    <x v="2"/>
    <x v="2"/>
    <x v="0"/>
    <x v="8"/>
    <x v="3"/>
    <x v="2"/>
    <x v="1"/>
  </r>
  <r>
    <s v="TX500291"/>
    <x v="4"/>
    <x v="2"/>
    <n v="28.1"/>
    <n v="84.300000000000011"/>
    <d v="2025-01-13T00:00:00"/>
    <d v="2025-01-17T00:00:00"/>
    <s v="M"/>
    <x v="0"/>
    <x v="0"/>
    <x v="0"/>
    <x v="8"/>
    <x v="5"/>
    <x v="2"/>
    <x v="1"/>
  </r>
  <r>
    <s v="TX500292"/>
    <x v="7"/>
    <x v="13"/>
    <n v="51.4"/>
    <n v="308.39999999999998"/>
    <d v="2025-01-13T00:00:00"/>
    <d v="2025-01-17T00:00:00"/>
    <s v="M"/>
    <x v="0"/>
    <x v="0"/>
    <x v="0"/>
    <x v="8"/>
    <x v="5"/>
    <x v="2"/>
    <x v="1"/>
  </r>
  <r>
    <s v="TX500293"/>
    <x v="7"/>
    <x v="1"/>
    <n v="97.7"/>
    <n v="195.4"/>
    <d v="2025-01-13T00:00:00"/>
    <d v="2025-01-15T00:00:00"/>
    <s v="F"/>
    <x v="4"/>
    <x v="2"/>
    <x v="0"/>
    <x v="17"/>
    <x v="1"/>
    <x v="2"/>
    <x v="2"/>
  </r>
  <r>
    <s v="TX500294"/>
    <x v="1"/>
    <x v="12"/>
    <n v="63.8"/>
    <n v="255.2"/>
    <d v="2025-01-13T00:00:00"/>
    <d v="2025-01-14T00:00:00"/>
    <s v="M"/>
    <x v="2"/>
    <x v="0"/>
    <x v="0"/>
    <x v="38"/>
    <x v="3"/>
    <x v="2"/>
    <x v="1"/>
  </r>
  <r>
    <s v="TX500295"/>
    <x v="13"/>
    <x v="1"/>
    <n v="20.100000000000001"/>
    <n v="40.200000000000003"/>
    <d v="2025-01-13T00:00:00"/>
    <d v="2025-01-15T00:00:00"/>
    <s v="M"/>
    <x v="0"/>
    <x v="2"/>
    <x v="0"/>
    <x v="20"/>
    <x v="1"/>
    <x v="2"/>
    <x v="1"/>
  </r>
  <r>
    <s v="TX500296"/>
    <x v="11"/>
    <x v="2"/>
    <n v="50.4"/>
    <n v="151.19999999999999"/>
    <d v="2025-01-13T00:00:00"/>
    <d v="2025-01-16T00:00:00"/>
    <s v="F"/>
    <x v="3"/>
    <x v="0"/>
    <x v="0"/>
    <x v="13"/>
    <x v="2"/>
    <x v="2"/>
    <x v="2"/>
  </r>
  <r>
    <s v="TX500297"/>
    <x v="0"/>
    <x v="0"/>
    <n v="16.2"/>
    <n v="16.2"/>
    <d v="2025-01-13T00:00:00"/>
    <d v="2025-01-26T00:00:00"/>
    <s v="F"/>
    <x v="1"/>
    <x v="0"/>
    <x v="0"/>
    <x v="1"/>
    <x v="10"/>
    <x v="2"/>
    <x v="2"/>
  </r>
  <r>
    <s v="TX500298"/>
    <x v="6"/>
    <x v="3"/>
    <n v="80.900000000000006"/>
    <n v="566.30000000000007"/>
    <d v="2025-01-13T00:00:00"/>
    <d v="2025-01-15T00:00:00"/>
    <s v="M"/>
    <x v="4"/>
    <x v="4"/>
    <x v="0"/>
    <x v="2"/>
    <x v="1"/>
    <x v="2"/>
    <x v="1"/>
  </r>
  <r>
    <s v="TX500299"/>
    <x v="9"/>
    <x v="13"/>
    <n v="95.2"/>
    <n v="571.20000000000005"/>
    <d v="2025-01-13T00:00:00"/>
    <d v="2025-01-15T00:00:00"/>
    <s v="F"/>
    <x v="0"/>
    <x v="2"/>
    <x v="0"/>
    <x v="2"/>
    <x v="1"/>
    <x v="2"/>
    <x v="2"/>
  </r>
  <r>
    <s v="TX500300"/>
    <x v="5"/>
    <x v="8"/>
    <n v="70.400000000000006"/>
    <n v="563.20000000000005"/>
    <d v="2025-01-13T00:00:00"/>
    <d v="2025-01-14T00:00:00"/>
    <s v="M"/>
    <x v="1"/>
    <x v="1"/>
    <x v="0"/>
    <x v="3"/>
    <x v="3"/>
    <x v="2"/>
    <x v="1"/>
  </r>
  <r>
    <s v="TX500301"/>
    <x v="0"/>
    <x v="9"/>
    <n v="10.7"/>
    <n v="53.5"/>
    <d v="2025-01-13T00:00:00"/>
    <d v="2025-01-17T00:00:00"/>
    <s v="F"/>
    <x v="2"/>
    <x v="0"/>
    <x v="0"/>
    <x v="3"/>
    <x v="5"/>
    <x v="2"/>
    <x v="2"/>
  </r>
  <r>
    <s v="TX500302"/>
    <x v="8"/>
    <x v="9"/>
    <n v="19.600000000000001"/>
    <n v="98"/>
    <d v="2025-01-13T00:00:00"/>
    <d v="2025-01-15T00:00:00"/>
    <s v="F"/>
    <x v="0"/>
    <x v="3"/>
    <x v="0"/>
    <x v="3"/>
    <x v="1"/>
    <x v="2"/>
    <x v="2"/>
  </r>
  <r>
    <s v="TX500303"/>
    <x v="8"/>
    <x v="5"/>
    <n v="34.700000000000003"/>
    <n v="381.70000000000005"/>
    <d v="2025-01-13T00:00:00"/>
    <d v="2025-01-15T00:00:00"/>
    <s v="F"/>
    <x v="0"/>
    <x v="2"/>
    <x v="0"/>
    <x v="3"/>
    <x v="1"/>
    <x v="2"/>
    <x v="2"/>
  </r>
  <r>
    <s v="TX500304"/>
    <x v="10"/>
    <x v="11"/>
    <n v="34.1"/>
    <n v="306.90000000000003"/>
    <d v="2025-01-13T00:00:00"/>
    <d v="2025-01-14T00:00:00"/>
    <s v="F"/>
    <x v="4"/>
    <x v="1"/>
    <x v="0"/>
    <x v="3"/>
    <x v="3"/>
    <x v="2"/>
    <x v="2"/>
  </r>
  <r>
    <s v="TX500305"/>
    <x v="0"/>
    <x v="26"/>
    <n v="29.3"/>
    <n v="1435.7"/>
    <d v="2025-01-13T00:00:00"/>
    <d v="2025-01-13T00:00:00"/>
    <s v="M"/>
    <x v="0"/>
    <x v="1"/>
    <x v="0"/>
    <x v="3"/>
    <x v="7"/>
    <x v="2"/>
    <x v="1"/>
  </r>
  <r>
    <s v="TX500306"/>
    <x v="1"/>
    <x v="0"/>
    <n v="55.2"/>
    <n v="55.2"/>
    <d v="2025-01-13T00:00:00"/>
    <d v="2025-01-14T00:00:00"/>
    <s v="F"/>
    <x v="0"/>
    <x v="1"/>
    <x v="0"/>
    <x v="3"/>
    <x v="3"/>
    <x v="2"/>
    <x v="2"/>
  </r>
  <r>
    <s v="TX500307"/>
    <x v="18"/>
    <x v="2"/>
    <n v="26"/>
    <n v="78"/>
    <d v="2025-01-13T00:00:00"/>
    <d v="2025-01-16T00:00:00"/>
    <s v="F"/>
    <x v="0"/>
    <x v="2"/>
    <x v="0"/>
    <x v="3"/>
    <x v="2"/>
    <x v="2"/>
    <x v="2"/>
  </r>
  <r>
    <s v="TX500308"/>
    <x v="14"/>
    <x v="1"/>
    <n v="14.2"/>
    <n v="28.4"/>
    <d v="2025-01-13T00:00:00"/>
    <d v="2025-01-18T00:00:00"/>
    <s v="F"/>
    <x v="3"/>
    <x v="0"/>
    <x v="0"/>
    <x v="39"/>
    <x v="0"/>
    <x v="2"/>
    <x v="2"/>
  </r>
  <r>
    <s v="TX500309"/>
    <x v="8"/>
    <x v="11"/>
    <n v="22.7"/>
    <n v="204.29999999999998"/>
    <d v="2025-01-14T00:00:00"/>
    <d v="2025-01-15T00:00:00"/>
    <s v="M"/>
    <x v="1"/>
    <x v="0"/>
    <x v="0"/>
    <x v="6"/>
    <x v="3"/>
    <x v="2"/>
    <x v="1"/>
  </r>
  <r>
    <s v="TX500310"/>
    <x v="0"/>
    <x v="20"/>
    <n v="19.8"/>
    <n v="297"/>
    <d v="2025-01-14T00:00:00"/>
    <d v="2025-01-14T00:00:00"/>
    <s v="F"/>
    <x v="0"/>
    <x v="2"/>
    <x v="0"/>
    <x v="6"/>
    <x v="7"/>
    <x v="2"/>
    <x v="2"/>
  </r>
  <r>
    <s v="TX500311"/>
    <x v="0"/>
    <x v="2"/>
    <n v="31.7"/>
    <n v="95.1"/>
    <d v="2025-01-14T00:00:00"/>
    <d v="2025-01-15T00:00:00"/>
    <s v="M"/>
    <x v="2"/>
    <x v="0"/>
    <x v="0"/>
    <x v="6"/>
    <x v="3"/>
    <x v="2"/>
    <x v="1"/>
  </r>
  <r>
    <s v="TX500312"/>
    <x v="8"/>
    <x v="12"/>
    <n v="30.4"/>
    <n v="121.6"/>
    <d v="2025-01-14T00:00:00"/>
    <d v="2025-01-18T00:00:00"/>
    <s v="M"/>
    <x v="0"/>
    <x v="0"/>
    <x v="0"/>
    <x v="6"/>
    <x v="5"/>
    <x v="2"/>
    <x v="1"/>
  </r>
  <r>
    <s v="TX500313"/>
    <x v="0"/>
    <x v="12"/>
    <n v="25.6"/>
    <n v="102.4"/>
    <d v="2025-01-14T00:00:00"/>
    <d v="2025-01-15T00:00:00"/>
    <s v="M"/>
    <x v="3"/>
    <x v="0"/>
    <x v="0"/>
    <x v="8"/>
    <x v="3"/>
    <x v="2"/>
    <x v="1"/>
  </r>
  <r>
    <s v="TX500314"/>
    <x v="5"/>
    <x v="1"/>
    <n v="34.9"/>
    <n v="69.8"/>
    <d v="2025-01-14T00:00:00"/>
    <d v="2025-01-15T00:00:00"/>
    <s v="F"/>
    <x v="2"/>
    <x v="0"/>
    <x v="0"/>
    <x v="9"/>
    <x v="3"/>
    <x v="2"/>
    <x v="2"/>
  </r>
  <r>
    <s v="TX500315"/>
    <x v="7"/>
    <x v="13"/>
    <n v="42.7"/>
    <n v="256.20000000000005"/>
    <d v="2025-01-14T00:00:00"/>
    <d v="2025-01-17T00:00:00"/>
    <s v="M"/>
    <x v="2"/>
    <x v="1"/>
    <x v="0"/>
    <x v="11"/>
    <x v="2"/>
    <x v="2"/>
    <x v="1"/>
  </r>
  <r>
    <s v="TX500316"/>
    <x v="8"/>
    <x v="0"/>
    <n v="23.9"/>
    <n v="23.9"/>
    <d v="2025-01-14T00:00:00"/>
    <d v="2025-01-16T00:00:00"/>
    <s v="F"/>
    <x v="3"/>
    <x v="0"/>
    <x v="0"/>
    <x v="11"/>
    <x v="1"/>
    <x v="2"/>
    <x v="2"/>
  </r>
  <r>
    <s v="TX500317"/>
    <x v="6"/>
    <x v="0"/>
    <n v="124.3"/>
    <n v="124.3"/>
    <d v="2025-01-14T00:00:00"/>
    <d v="2025-01-15T00:00:00"/>
    <s v=""/>
    <x v="2"/>
    <x v="1"/>
    <x v="0"/>
    <x v="21"/>
    <x v="3"/>
    <x v="2"/>
    <x v="0"/>
  </r>
  <r>
    <s v="TX500318"/>
    <x v="8"/>
    <x v="13"/>
    <n v="35.9"/>
    <n v="215.39999999999998"/>
    <d v="2025-01-14T00:00:00"/>
    <d v="2025-01-15T00:00:00"/>
    <s v="F"/>
    <x v="0"/>
    <x v="1"/>
    <x v="0"/>
    <x v="1"/>
    <x v="3"/>
    <x v="2"/>
    <x v="2"/>
  </r>
  <r>
    <s v="TX500319"/>
    <x v="2"/>
    <x v="1"/>
    <n v="69.099999999999994"/>
    <n v="138.19999999999999"/>
    <d v="2025-01-14T00:00:00"/>
    <d v="2025-01-17T00:00:00"/>
    <s v="F"/>
    <x v="0"/>
    <x v="2"/>
    <x v="0"/>
    <x v="22"/>
    <x v="2"/>
    <x v="2"/>
    <x v="2"/>
  </r>
  <r>
    <s v="TX500320"/>
    <x v="7"/>
    <x v="0"/>
    <n v="58.4"/>
    <n v="58.4"/>
    <d v="2025-01-14T00:00:00"/>
    <d v="2025-01-18T00:00:00"/>
    <s v="M"/>
    <x v="0"/>
    <x v="0"/>
    <x v="0"/>
    <x v="22"/>
    <x v="5"/>
    <x v="2"/>
    <x v="1"/>
  </r>
  <r>
    <s v="TX500321"/>
    <x v="5"/>
    <x v="0"/>
    <n v="65.2"/>
    <n v="65.2"/>
    <d v="2025-01-14T00:00:00"/>
    <d v="2025-01-16T00:00:00"/>
    <s v="O"/>
    <x v="4"/>
    <x v="4"/>
    <x v="0"/>
    <x v="3"/>
    <x v="1"/>
    <x v="2"/>
    <x v="3"/>
  </r>
  <r>
    <s v="TX500322"/>
    <x v="8"/>
    <x v="14"/>
    <n v="32.700000000000003"/>
    <n v="555.90000000000009"/>
    <d v="2025-01-14T00:00:00"/>
    <d v="2025-01-21T00:00:00"/>
    <s v=""/>
    <x v="4"/>
    <x v="0"/>
    <x v="0"/>
    <x v="3"/>
    <x v="6"/>
    <x v="2"/>
    <x v="0"/>
  </r>
  <r>
    <s v="TX500323"/>
    <x v="10"/>
    <x v="3"/>
    <n v="24.4"/>
    <n v="170.79999999999998"/>
    <d v="2025-01-14T00:00:00"/>
    <d v="2025-01-15T00:00:00"/>
    <s v="F"/>
    <x v="0"/>
    <x v="0"/>
    <x v="0"/>
    <x v="3"/>
    <x v="3"/>
    <x v="2"/>
    <x v="2"/>
  </r>
  <r>
    <s v="TX500324"/>
    <x v="14"/>
    <x v="1"/>
    <n v="50.4"/>
    <n v="100.8"/>
    <d v="2025-01-14T00:00:00"/>
    <d v="2025-01-20T00:00:00"/>
    <s v="M"/>
    <x v="0"/>
    <x v="1"/>
    <x v="0"/>
    <x v="3"/>
    <x v="4"/>
    <x v="2"/>
    <x v="1"/>
  </r>
  <r>
    <s v="TX500325"/>
    <x v="1"/>
    <x v="1"/>
    <n v="100"/>
    <n v="200"/>
    <d v="2025-01-14T00:00:00"/>
    <d v="2025-01-15T00:00:00"/>
    <s v="F"/>
    <x v="0"/>
    <x v="0"/>
    <x v="0"/>
    <x v="3"/>
    <x v="3"/>
    <x v="2"/>
    <x v="2"/>
  </r>
  <r>
    <s v="TX500326"/>
    <x v="10"/>
    <x v="2"/>
    <n v="43"/>
    <n v="129"/>
    <d v="2025-01-15T00:00:00"/>
    <d v="2025-01-15T00:00:00"/>
    <s v="F"/>
    <x v="2"/>
    <x v="1"/>
    <x v="0"/>
    <x v="3"/>
    <x v="7"/>
    <x v="2"/>
    <x v="2"/>
  </r>
  <r>
    <s v="TX500327"/>
    <x v="1"/>
    <x v="9"/>
    <n v="64.400000000000006"/>
    <n v="322"/>
    <d v="2025-01-15T00:00:00"/>
    <d v="2025-01-17T00:00:00"/>
    <s v="M"/>
    <x v="2"/>
    <x v="1"/>
    <x v="0"/>
    <x v="3"/>
    <x v="1"/>
    <x v="2"/>
    <x v="1"/>
  </r>
  <r>
    <s v="TX500328"/>
    <x v="18"/>
    <x v="1"/>
    <n v="57.4"/>
    <n v="114.8"/>
    <d v="2025-01-15T00:00:00"/>
    <d v="2025-01-16T00:00:00"/>
    <s v="M"/>
    <x v="2"/>
    <x v="1"/>
    <x v="0"/>
    <x v="3"/>
    <x v="3"/>
    <x v="2"/>
    <x v="1"/>
  </r>
  <r>
    <s v="TX500329"/>
    <x v="2"/>
    <x v="2"/>
    <n v="55.1"/>
    <n v="165.3"/>
    <d v="2025-01-15T00:00:00"/>
    <d v="2025-01-18T00:00:00"/>
    <s v="F"/>
    <x v="1"/>
    <x v="0"/>
    <x v="0"/>
    <x v="3"/>
    <x v="2"/>
    <x v="2"/>
    <x v="2"/>
  </r>
  <r>
    <s v="TX500330"/>
    <x v="7"/>
    <x v="12"/>
    <n v="45.4"/>
    <n v="181.6"/>
    <d v="2025-01-15T00:00:00"/>
    <d v="2025-01-16T00:00:00"/>
    <s v="F"/>
    <x v="1"/>
    <x v="0"/>
    <x v="0"/>
    <x v="3"/>
    <x v="3"/>
    <x v="2"/>
    <x v="2"/>
  </r>
  <r>
    <s v="TX500331"/>
    <x v="3"/>
    <x v="2"/>
    <n v="93.3"/>
    <n v="279.89999999999998"/>
    <d v="2025-01-15T00:00:00"/>
    <d v="2025-01-16T00:00:00"/>
    <s v="F"/>
    <x v="0"/>
    <x v="0"/>
    <x v="0"/>
    <x v="40"/>
    <x v="3"/>
    <x v="2"/>
    <x v="2"/>
  </r>
  <r>
    <s v="TX500332"/>
    <x v="2"/>
    <x v="10"/>
    <n v="158.19999999999999"/>
    <n v="3005.7999999999997"/>
    <d v="2025-01-15T00:00:00"/>
    <d v="2025-01-16T00:00:00"/>
    <s v="F"/>
    <x v="1"/>
    <x v="2"/>
    <x v="0"/>
    <x v="16"/>
    <x v="3"/>
    <x v="2"/>
    <x v="2"/>
  </r>
  <r>
    <s v="TX500333"/>
    <x v="2"/>
    <x v="1"/>
    <n v="74.900000000000006"/>
    <n v="149.80000000000001"/>
    <d v="2025-01-15T00:00:00"/>
    <d v="2025-01-17T00:00:00"/>
    <s v="M"/>
    <x v="3"/>
    <x v="0"/>
    <x v="0"/>
    <x v="6"/>
    <x v="1"/>
    <x v="2"/>
    <x v="1"/>
  </r>
  <r>
    <s v="TX500334"/>
    <x v="8"/>
    <x v="3"/>
    <n v="26"/>
    <n v="182"/>
    <d v="2025-01-15T00:00:00"/>
    <d v="2025-01-18T00:00:00"/>
    <s v="F"/>
    <x v="1"/>
    <x v="0"/>
    <x v="0"/>
    <x v="8"/>
    <x v="2"/>
    <x v="2"/>
    <x v="2"/>
  </r>
  <r>
    <s v="TX500335"/>
    <x v="9"/>
    <x v="13"/>
    <n v="37.5"/>
    <n v="225"/>
    <d v="2025-01-15T00:00:00"/>
    <d v="2025-01-16T00:00:00"/>
    <s v="F"/>
    <x v="0"/>
    <x v="1"/>
    <x v="0"/>
    <x v="8"/>
    <x v="3"/>
    <x v="2"/>
    <x v="2"/>
  </r>
  <r>
    <s v="TX500336"/>
    <x v="6"/>
    <x v="1"/>
    <n v="75.8"/>
    <n v="151.6"/>
    <d v="2025-01-15T00:00:00"/>
    <d v="2025-01-21T00:00:00"/>
    <s v="M"/>
    <x v="0"/>
    <x v="0"/>
    <x v="0"/>
    <x v="8"/>
    <x v="4"/>
    <x v="2"/>
    <x v="1"/>
  </r>
  <r>
    <s v="TX500337"/>
    <x v="7"/>
    <x v="0"/>
    <n v="48.5"/>
    <n v="48.5"/>
    <d v="2025-01-15T00:00:00"/>
    <d v="2025-01-27T00:00:00"/>
    <s v=""/>
    <x v="4"/>
    <x v="2"/>
    <x v="0"/>
    <x v="8"/>
    <x v="13"/>
    <x v="2"/>
    <x v="0"/>
  </r>
  <r>
    <s v="TX500338"/>
    <x v="6"/>
    <x v="2"/>
    <n v="98.9"/>
    <n v="296.70000000000005"/>
    <d v="2025-01-15T00:00:00"/>
    <d v="2025-01-17T00:00:00"/>
    <s v="F"/>
    <x v="4"/>
    <x v="1"/>
    <x v="0"/>
    <x v="8"/>
    <x v="1"/>
    <x v="2"/>
    <x v="2"/>
  </r>
  <r>
    <s v="TX500339"/>
    <x v="1"/>
    <x v="4"/>
    <n v="50.9"/>
    <n v="610.79999999999995"/>
    <d v="2025-01-15T00:00:00"/>
    <d v="2025-01-15T00:00:00"/>
    <s v="M"/>
    <x v="4"/>
    <x v="0"/>
    <x v="0"/>
    <x v="8"/>
    <x v="7"/>
    <x v="2"/>
    <x v="1"/>
  </r>
  <r>
    <s v="TX500340"/>
    <x v="12"/>
    <x v="13"/>
    <n v="84.7"/>
    <n v="508.20000000000005"/>
    <d v="2025-01-15T00:00:00"/>
    <d v="2025-01-15T00:00:00"/>
    <s v="F"/>
    <x v="2"/>
    <x v="0"/>
    <x v="0"/>
    <x v="8"/>
    <x v="7"/>
    <x v="2"/>
    <x v="2"/>
  </r>
  <r>
    <s v="TX500341"/>
    <x v="8"/>
    <x v="0"/>
    <n v="20.7"/>
    <n v="20.7"/>
    <d v="2025-01-15T00:00:00"/>
    <d v="2025-01-17T00:00:00"/>
    <s v="F"/>
    <x v="3"/>
    <x v="2"/>
    <x v="0"/>
    <x v="8"/>
    <x v="1"/>
    <x v="2"/>
    <x v="2"/>
  </r>
  <r>
    <s v="TX500342"/>
    <x v="12"/>
    <x v="11"/>
    <n v="57.8"/>
    <n v="520.19999999999993"/>
    <d v="2025-01-15T00:00:00"/>
    <d v="2025-01-26T00:00:00"/>
    <s v="M"/>
    <x v="0"/>
    <x v="4"/>
    <x v="0"/>
    <x v="17"/>
    <x v="11"/>
    <x v="2"/>
    <x v="1"/>
  </r>
  <r>
    <s v="TX500343"/>
    <x v="2"/>
    <x v="1"/>
    <n v="106.9"/>
    <n v="213.8"/>
    <d v="2025-01-15T00:00:00"/>
    <d v="2025-01-17T00:00:00"/>
    <s v="F"/>
    <x v="0"/>
    <x v="2"/>
    <x v="0"/>
    <x v="41"/>
    <x v="1"/>
    <x v="2"/>
    <x v="2"/>
  </r>
  <r>
    <s v="TX500344"/>
    <x v="3"/>
    <x v="9"/>
    <n v="45.2"/>
    <n v="226"/>
    <d v="2025-01-15T00:00:00"/>
    <d v="2025-01-19T00:00:00"/>
    <s v="F"/>
    <x v="1"/>
    <x v="0"/>
    <x v="0"/>
    <x v="21"/>
    <x v="5"/>
    <x v="2"/>
    <x v="2"/>
  </r>
  <r>
    <s v="TX500345"/>
    <x v="8"/>
    <x v="15"/>
    <n v="34.6"/>
    <n v="449.8"/>
    <d v="2025-01-15T00:00:00"/>
    <d v="2025-01-15T00:00:00"/>
    <s v="F"/>
    <x v="1"/>
    <x v="1"/>
    <x v="0"/>
    <x v="21"/>
    <x v="7"/>
    <x v="2"/>
    <x v="2"/>
  </r>
  <r>
    <s v="TX500346"/>
    <x v="15"/>
    <x v="0"/>
    <n v="43.8"/>
    <n v="43.8"/>
    <d v="2025-01-15T00:00:00"/>
    <d v="2025-01-17T00:00:00"/>
    <s v=""/>
    <x v="0"/>
    <x v="2"/>
    <x v="0"/>
    <x v="21"/>
    <x v="1"/>
    <x v="2"/>
    <x v="0"/>
  </r>
  <r>
    <s v="TX500347"/>
    <x v="15"/>
    <x v="0"/>
    <n v="20.399999999999999"/>
    <n v="20.399999999999999"/>
    <d v="2025-01-15T00:00:00"/>
    <d v="2025-01-17T00:00:00"/>
    <s v="M"/>
    <x v="4"/>
    <x v="1"/>
    <x v="0"/>
    <x v="21"/>
    <x v="1"/>
    <x v="2"/>
    <x v="1"/>
  </r>
  <r>
    <s v="TX500348"/>
    <x v="1"/>
    <x v="0"/>
    <n v="36.700000000000003"/>
    <n v="36.700000000000003"/>
    <d v="2025-01-15T00:00:00"/>
    <d v="2025-01-16T00:00:00"/>
    <s v="M"/>
    <x v="0"/>
    <x v="1"/>
    <x v="0"/>
    <x v="1"/>
    <x v="3"/>
    <x v="2"/>
    <x v="1"/>
  </r>
  <r>
    <s v="TX500349"/>
    <x v="8"/>
    <x v="2"/>
    <n v="27.2"/>
    <n v="81.599999999999994"/>
    <d v="2025-01-15T00:00:00"/>
    <d v="2025-01-19T00:00:00"/>
    <s v="M"/>
    <x v="0"/>
    <x v="2"/>
    <x v="0"/>
    <x v="1"/>
    <x v="5"/>
    <x v="2"/>
    <x v="1"/>
  </r>
  <r>
    <s v="TX500350"/>
    <x v="6"/>
    <x v="0"/>
    <n v="58.2"/>
    <n v="58.2"/>
    <d v="2025-01-15T00:00:00"/>
    <d v="2025-01-16T00:00:00"/>
    <s v="F"/>
    <x v="0"/>
    <x v="2"/>
    <x v="0"/>
    <x v="42"/>
    <x v="3"/>
    <x v="2"/>
    <x v="2"/>
  </r>
  <r>
    <s v="TX500351"/>
    <x v="8"/>
    <x v="2"/>
    <n v="25.6"/>
    <n v="76.800000000000011"/>
    <d v="2025-01-15T00:00:00"/>
    <d v="2025-01-16T00:00:00"/>
    <s v="M"/>
    <x v="4"/>
    <x v="4"/>
    <x v="0"/>
    <x v="2"/>
    <x v="3"/>
    <x v="2"/>
    <x v="1"/>
  </r>
  <r>
    <s v="TX500352"/>
    <x v="10"/>
    <x v="0"/>
    <n v="21.2"/>
    <n v="21.2"/>
    <d v="2025-01-15T00:00:00"/>
    <d v="2025-01-15T00:00:00"/>
    <s v="F"/>
    <x v="1"/>
    <x v="2"/>
    <x v="0"/>
    <x v="3"/>
    <x v="7"/>
    <x v="2"/>
    <x v="2"/>
  </r>
  <r>
    <s v="TX500353"/>
    <x v="6"/>
    <x v="1"/>
    <n v="48.2"/>
    <n v="96.4"/>
    <d v="2025-01-15T00:00:00"/>
    <d v="2025-01-23T00:00:00"/>
    <s v="F"/>
    <x v="0"/>
    <x v="2"/>
    <x v="0"/>
    <x v="3"/>
    <x v="9"/>
    <x v="2"/>
    <x v="2"/>
  </r>
  <r>
    <s v="TX500354"/>
    <x v="1"/>
    <x v="12"/>
    <n v="83.4"/>
    <n v="333.6"/>
    <d v="2025-01-16T00:00:00"/>
    <d v="2025-01-17T00:00:00"/>
    <s v="M"/>
    <x v="0"/>
    <x v="0"/>
    <x v="0"/>
    <x v="3"/>
    <x v="3"/>
    <x v="2"/>
    <x v="1"/>
  </r>
  <r>
    <s v="TX500355"/>
    <x v="9"/>
    <x v="2"/>
    <n v="45.3"/>
    <n v="135.89999999999998"/>
    <d v="2025-01-16T00:00:00"/>
    <d v="2025-01-22T00:00:00"/>
    <s v="M"/>
    <x v="2"/>
    <x v="1"/>
    <x v="0"/>
    <x v="3"/>
    <x v="4"/>
    <x v="2"/>
    <x v="1"/>
  </r>
  <r>
    <s v="TX500356"/>
    <x v="17"/>
    <x v="0"/>
    <n v="42"/>
    <n v="42"/>
    <d v="2025-01-16T00:00:00"/>
    <d v="2025-01-17T00:00:00"/>
    <s v=""/>
    <x v="0"/>
    <x v="0"/>
    <x v="0"/>
    <x v="3"/>
    <x v="3"/>
    <x v="2"/>
    <x v="0"/>
  </r>
  <r>
    <s v="TX500357"/>
    <x v="0"/>
    <x v="11"/>
    <n v="21.8"/>
    <n v="196.20000000000002"/>
    <d v="2025-01-16T00:00:00"/>
    <d v="2025-01-18T00:00:00"/>
    <s v="F"/>
    <x v="1"/>
    <x v="0"/>
    <x v="0"/>
    <x v="3"/>
    <x v="1"/>
    <x v="2"/>
    <x v="2"/>
  </r>
  <r>
    <s v="TX500358"/>
    <x v="8"/>
    <x v="16"/>
    <n v="21.4"/>
    <n v="385.2"/>
    <d v="2025-01-16T00:00:00"/>
    <d v="2025-01-19T00:00:00"/>
    <s v="F"/>
    <x v="1"/>
    <x v="2"/>
    <x v="0"/>
    <x v="3"/>
    <x v="2"/>
    <x v="2"/>
    <x v="2"/>
  </r>
  <r>
    <s v="TX500359"/>
    <x v="10"/>
    <x v="2"/>
    <n v="45"/>
    <n v="135"/>
    <d v="2025-01-16T00:00:00"/>
    <d v="2025-01-16T00:00:00"/>
    <s v="F"/>
    <x v="1"/>
    <x v="2"/>
    <x v="0"/>
    <x v="3"/>
    <x v="7"/>
    <x v="2"/>
    <x v="2"/>
  </r>
  <r>
    <s v="TX500360"/>
    <x v="14"/>
    <x v="0"/>
    <n v="39.6"/>
    <n v="39.6"/>
    <d v="2025-01-16T00:00:00"/>
    <d v="2025-01-17T00:00:00"/>
    <s v="M"/>
    <x v="0"/>
    <x v="2"/>
    <x v="0"/>
    <x v="3"/>
    <x v="3"/>
    <x v="2"/>
    <x v="1"/>
  </r>
  <r>
    <s v="TX500361"/>
    <x v="12"/>
    <x v="2"/>
    <n v="79.8"/>
    <n v="239.39999999999998"/>
    <d v="2025-01-16T00:00:00"/>
    <d v="2025-01-22T00:00:00"/>
    <s v="F"/>
    <x v="1"/>
    <x v="4"/>
    <x v="0"/>
    <x v="3"/>
    <x v="4"/>
    <x v="2"/>
    <x v="2"/>
  </r>
  <r>
    <s v="TX500362"/>
    <x v="1"/>
    <x v="12"/>
    <n v="63.6"/>
    <n v="254.4"/>
    <d v="2025-01-16T00:00:00"/>
    <d v="2025-01-17T00:00:00"/>
    <s v="O"/>
    <x v="0"/>
    <x v="2"/>
    <x v="0"/>
    <x v="24"/>
    <x v="3"/>
    <x v="2"/>
    <x v="3"/>
  </r>
  <r>
    <s v="TX500363"/>
    <x v="7"/>
    <x v="7"/>
    <n v="92.7"/>
    <n v="927"/>
    <d v="2025-01-16T00:00:00"/>
    <d v="2025-01-20T00:00:00"/>
    <s v="M"/>
    <x v="1"/>
    <x v="2"/>
    <x v="0"/>
    <x v="6"/>
    <x v="5"/>
    <x v="2"/>
    <x v="1"/>
  </r>
  <r>
    <s v="TX500364"/>
    <x v="1"/>
    <x v="12"/>
    <n v="48.4"/>
    <n v="193.6"/>
    <d v="2025-01-16T00:00:00"/>
    <d v="2025-01-18T00:00:00"/>
    <s v="F"/>
    <x v="1"/>
    <x v="2"/>
    <x v="0"/>
    <x v="6"/>
    <x v="1"/>
    <x v="2"/>
    <x v="2"/>
  </r>
  <r>
    <s v="TX500365"/>
    <x v="9"/>
    <x v="8"/>
    <n v="36"/>
    <n v="288"/>
    <d v="2025-01-16T00:00:00"/>
    <d v="2025-01-19T00:00:00"/>
    <s v="M"/>
    <x v="2"/>
    <x v="2"/>
    <x v="0"/>
    <x v="8"/>
    <x v="2"/>
    <x v="2"/>
    <x v="1"/>
  </r>
  <r>
    <s v="TX500366"/>
    <x v="8"/>
    <x v="4"/>
    <n v="27"/>
    <n v="324"/>
    <d v="2025-01-16T00:00:00"/>
    <d v="2025-01-18T00:00:00"/>
    <s v="F"/>
    <x v="2"/>
    <x v="1"/>
    <x v="0"/>
    <x v="8"/>
    <x v="1"/>
    <x v="2"/>
    <x v="2"/>
  </r>
  <r>
    <s v="TX500367"/>
    <x v="2"/>
    <x v="8"/>
    <n v="53.9"/>
    <n v="431.2"/>
    <d v="2025-01-16T00:00:00"/>
    <d v="2025-01-17T00:00:00"/>
    <s v=""/>
    <x v="0"/>
    <x v="0"/>
    <x v="0"/>
    <x v="8"/>
    <x v="3"/>
    <x v="2"/>
    <x v="0"/>
  </r>
  <r>
    <s v="TX500368"/>
    <x v="3"/>
    <x v="11"/>
    <n v="48.4"/>
    <n v="435.59999999999997"/>
    <d v="2025-01-16T00:00:00"/>
    <d v="2025-01-17T00:00:00"/>
    <s v="F"/>
    <x v="1"/>
    <x v="0"/>
    <x v="0"/>
    <x v="9"/>
    <x v="3"/>
    <x v="2"/>
    <x v="2"/>
  </r>
  <r>
    <s v="TX500369"/>
    <x v="17"/>
    <x v="1"/>
    <n v="49.9"/>
    <n v="99.8"/>
    <d v="2025-01-16T00:00:00"/>
    <d v="2025-01-21T00:00:00"/>
    <s v="M"/>
    <x v="4"/>
    <x v="4"/>
    <x v="0"/>
    <x v="10"/>
    <x v="0"/>
    <x v="2"/>
    <x v="1"/>
  </r>
  <r>
    <s v="TX500370"/>
    <x v="1"/>
    <x v="2"/>
    <n v="51.7"/>
    <n v="155.10000000000002"/>
    <d v="2025-01-16T00:00:00"/>
    <d v="2025-01-17T00:00:00"/>
    <s v="F"/>
    <x v="0"/>
    <x v="2"/>
    <x v="0"/>
    <x v="11"/>
    <x v="3"/>
    <x v="2"/>
    <x v="2"/>
  </r>
  <r>
    <s v="TX500371"/>
    <x v="8"/>
    <x v="2"/>
    <n v="41.8"/>
    <n v="125.39999999999999"/>
    <d v="2025-01-16T00:00:00"/>
    <d v="2025-01-18T00:00:00"/>
    <s v="F"/>
    <x v="2"/>
    <x v="0"/>
    <x v="0"/>
    <x v="18"/>
    <x v="1"/>
    <x v="2"/>
    <x v="2"/>
  </r>
  <r>
    <s v="TX500372"/>
    <x v="4"/>
    <x v="12"/>
    <n v="36.200000000000003"/>
    <n v="144.80000000000001"/>
    <d v="2025-01-17T00:00:00"/>
    <d v="2025-01-18T00:00:00"/>
    <s v="M"/>
    <x v="2"/>
    <x v="2"/>
    <x v="0"/>
    <x v="21"/>
    <x v="3"/>
    <x v="2"/>
    <x v="1"/>
  </r>
  <r>
    <s v="TX500373"/>
    <x v="2"/>
    <x v="0"/>
    <n v="150.9"/>
    <n v="150.9"/>
    <d v="2025-01-17T00:00:00"/>
    <d v="2025-01-27T00:00:00"/>
    <s v="M"/>
    <x v="0"/>
    <x v="0"/>
    <x v="0"/>
    <x v="1"/>
    <x v="14"/>
    <x v="2"/>
    <x v="1"/>
  </r>
  <r>
    <s v="TX500374"/>
    <x v="18"/>
    <x v="12"/>
    <n v="77.599999999999994"/>
    <n v="310.39999999999998"/>
    <d v="2025-01-17T00:00:00"/>
    <d v="2025-01-18T00:00:00"/>
    <s v=""/>
    <x v="2"/>
    <x v="0"/>
    <x v="0"/>
    <x v="3"/>
    <x v="3"/>
    <x v="2"/>
    <x v="0"/>
  </r>
  <r>
    <s v="TX500375"/>
    <x v="13"/>
    <x v="9"/>
    <n v="65.5"/>
    <n v="327.5"/>
    <d v="2025-01-17T00:00:00"/>
    <d v="2025-01-17T00:00:00"/>
    <s v="M"/>
    <x v="1"/>
    <x v="0"/>
    <x v="0"/>
    <x v="3"/>
    <x v="7"/>
    <x v="2"/>
    <x v="1"/>
  </r>
  <r>
    <s v="TX500376"/>
    <x v="6"/>
    <x v="2"/>
    <n v="90.1"/>
    <n v="270.29999999999995"/>
    <d v="2025-01-17T00:00:00"/>
    <d v="2025-01-19T00:00:00"/>
    <s v="F"/>
    <x v="0"/>
    <x v="0"/>
    <x v="0"/>
    <x v="3"/>
    <x v="1"/>
    <x v="2"/>
    <x v="2"/>
  </r>
  <r>
    <s v="TX500377"/>
    <x v="1"/>
    <x v="1"/>
    <n v="108.3"/>
    <n v="216.6"/>
    <d v="2025-01-17T00:00:00"/>
    <d v="2025-01-20T00:00:00"/>
    <s v="O"/>
    <x v="4"/>
    <x v="0"/>
    <x v="0"/>
    <x v="3"/>
    <x v="2"/>
    <x v="2"/>
    <x v="3"/>
  </r>
  <r>
    <s v="TX500378"/>
    <x v="5"/>
    <x v="2"/>
    <n v="59.9"/>
    <n v="179.7"/>
    <d v="2025-01-17T00:00:00"/>
    <d v="2025-01-21T00:00:00"/>
    <s v="F"/>
    <x v="0"/>
    <x v="0"/>
    <x v="0"/>
    <x v="3"/>
    <x v="5"/>
    <x v="2"/>
    <x v="2"/>
  </r>
  <r>
    <s v="TX500379"/>
    <x v="2"/>
    <x v="14"/>
    <n v="139"/>
    <n v="2363"/>
    <d v="2025-01-17T00:00:00"/>
    <d v="2025-01-19T00:00:00"/>
    <s v="F"/>
    <x v="1"/>
    <x v="4"/>
    <x v="0"/>
    <x v="3"/>
    <x v="1"/>
    <x v="2"/>
    <x v="2"/>
  </r>
  <r>
    <s v="TX500380"/>
    <x v="6"/>
    <x v="2"/>
    <n v="87.3"/>
    <n v="261.89999999999998"/>
    <d v="2025-01-17T00:00:00"/>
    <d v="2025-01-18T00:00:00"/>
    <s v="F"/>
    <x v="0"/>
    <x v="0"/>
    <x v="0"/>
    <x v="3"/>
    <x v="3"/>
    <x v="2"/>
    <x v="2"/>
  </r>
  <r>
    <s v="TX500381"/>
    <x v="11"/>
    <x v="12"/>
    <n v="42.3"/>
    <n v="169.2"/>
    <d v="2025-01-17T00:00:00"/>
    <d v="2025-01-17T00:00:00"/>
    <s v="M"/>
    <x v="0"/>
    <x v="0"/>
    <x v="0"/>
    <x v="3"/>
    <x v="7"/>
    <x v="2"/>
    <x v="1"/>
  </r>
  <r>
    <s v="TX500382"/>
    <x v="14"/>
    <x v="8"/>
    <n v="103.6"/>
    <n v="828.8"/>
    <d v="2025-01-17T00:00:00"/>
    <d v="2025-01-18T00:00:00"/>
    <s v="O"/>
    <x v="0"/>
    <x v="1"/>
    <x v="0"/>
    <x v="3"/>
    <x v="3"/>
    <x v="2"/>
    <x v="3"/>
  </r>
  <r>
    <s v="TX500383"/>
    <x v="6"/>
    <x v="1"/>
    <n v="90.9"/>
    <n v="181.8"/>
    <d v="2025-01-17T00:00:00"/>
    <d v="2025-01-18T00:00:00"/>
    <s v="M"/>
    <x v="1"/>
    <x v="0"/>
    <x v="0"/>
    <x v="6"/>
    <x v="3"/>
    <x v="2"/>
    <x v="1"/>
  </r>
  <r>
    <s v="TX500384"/>
    <x v="9"/>
    <x v="27"/>
    <n v="100.9"/>
    <n v="1614.4"/>
    <d v="2025-01-17T00:00:00"/>
    <d v="2025-01-18T00:00:00"/>
    <s v="F"/>
    <x v="1"/>
    <x v="0"/>
    <x v="0"/>
    <x v="6"/>
    <x v="3"/>
    <x v="2"/>
    <x v="2"/>
  </r>
  <r>
    <s v="TX500385"/>
    <x v="4"/>
    <x v="9"/>
    <n v="36"/>
    <n v="180"/>
    <d v="2025-01-17T00:00:00"/>
    <d v="2025-01-19T00:00:00"/>
    <s v="F"/>
    <x v="1"/>
    <x v="0"/>
    <x v="0"/>
    <x v="7"/>
    <x v="1"/>
    <x v="2"/>
    <x v="2"/>
  </r>
  <r>
    <s v="TX500386"/>
    <x v="6"/>
    <x v="13"/>
    <n v="83.3"/>
    <n v="499.79999999999995"/>
    <d v="2025-01-17T00:00:00"/>
    <d v="2025-01-20T00:00:00"/>
    <s v=""/>
    <x v="2"/>
    <x v="0"/>
    <x v="0"/>
    <x v="7"/>
    <x v="2"/>
    <x v="2"/>
    <x v="0"/>
  </r>
  <r>
    <s v="TX500387"/>
    <x v="2"/>
    <x v="14"/>
    <n v="60.3"/>
    <n v="1025.0999999999999"/>
    <d v="2025-01-17T00:00:00"/>
    <d v="2025-01-18T00:00:00"/>
    <s v="M"/>
    <x v="2"/>
    <x v="1"/>
    <x v="0"/>
    <x v="7"/>
    <x v="3"/>
    <x v="2"/>
    <x v="1"/>
  </r>
  <r>
    <s v="TX500388"/>
    <x v="2"/>
    <x v="13"/>
    <n v="120.3"/>
    <n v="721.8"/>
    <d v="2025-01-17T00:00:00"/>
    <d v="2025-01-18T00:00:00"/>
    <s v="M"/>
    <x v="2"/>
    <x v="0"/>
    <x v="0"/>
    <x v="8"/>
    <x v="3"/>
    <x v="2"/>
    <x v="1"/>
  </r>
  <r>
    <s v="TX500389"/>
    <x v="4"/>
    <x v="7"/>
    <n v="34"/>
    <n v="340"/>
    <d v="2025-01-17T00:00:00"/>
    <d v="2025-01-21T00:00:00"/>
    <s v="F"/>
    <x v="2"/>
    <x v="0"/>
    <x v="0"/>
    <x v="8"/>
    <x v="5"/>
    <x v="2"/>
    <x v="2"/>
  </r>
  <r>
    <s v="TX500390"/>
    <x v="10"/>
    <x v="9"/>
    <n v="42.6"/>
    <n v="213"/>
    <d v="2025-01-17T00:00:00"/>
    <d v="2025-01-20T00:00:00"/>
    <s v="M"/>
    <x v="1"/>
    <x v="0"/>
    <x v="0"/>
    <x v="8"/>
    <x v="2"/>
    <x v="2"/>
    <x v="1"/>
  </r>
  <r>
    <s v="TX500391"/>
    <x v="5"/>
    <x v="28"/>
    <n v="47.4"/>
    <n v="948"/>
    <d v="2025-01-17T00:00:00"/>
    <d v="2025-01-17T00:00:00"/>
    <s v="F"/>
    <x v="2"/>
    <x v="1"/>
    <x v="0"/>
    <x v="17"/>
    <x v="7"/>
    <x v="2"/>
    <x v="2"/>
  </r>
  <r>
    <s v="TX500392"/>
    <x v="2"/>
    <x v="0"/>
    <n v="74"/>
    <n v="74"/>
    <d v="2025-01-18T00:00:00"/>
    <d v="2025-01-19T00:00:00"/>
    <s v="M"/>
    <x v="1"/>
    <x v="0"/>
    <x v="0"/>
    <x v="11"/>
    <x v="3"/>
    <x v="2"/>
    <x v="1"/>
  </r>
  <r>
    <s v="TX500393"/>
    <x v="2"/>
    <x v="9"/>
    <n v="60.4"/>
    <n v="302"/>
    <d v="2025-01-18T00:00:00"/>
    <d v="2025-01-21T00:00:00"/>
    <s v="F"/>
    <x v="1"/>
    <x v="4"/>
    <x v="0"/>
    <x v="18"/>
    <x v="2"/>
    <x v="2"/>
    <x v="2"/>
  </r>
  <r>
    <s v="TX500394"/>
    <x v="12"/>
    <x v="1"/>
    <n v="69.3"/>
    <n v="138.6"/>
    <d v="2025-01-18T00:00:00"/>
    <d v="2025-01-21T00:00:00"/>
    <s v="M"/>
    <x v="1"/>
    <x v="1"/>
    <x v="0"/>
    <x v="13"/>
    <x v="2"/>
    <x v="2"/>
    <x v="1"/>
  </r>
  <r>
    <s v="TX500395"/>
    <x v="5"/>
    <x v="9"/>
    <n v="81"/>
    <n v="405"/>
    <d v="2025-01-18T00:00:00"/>
    <d v="2025-01-24T00:00:00"/>
    <s v="M"/>
    <x v="3"/>
    <x v="0"/>
    <x v="0"/>
    <x v="21"/>
    <x v="4"/>
    <x v="2"/>
    <x v="1"/>
  </r>
  <r>
    <s v="TX500396"/>
    <x v="15"/>
    <x v="2"/>
    <n v="41.5"/>
    <n v="124.5"/>
    <d v="2025-01-18T00:00:00"/>
    <d v="2025-01-20T00:00:00"/>
    <s v="O"/>
    <x v="1"/>
    <x v="0"/>
    <x v="0"/>
    <x v="21"/>
    <x v="1"/>
    <x v="2"/>
    <x v="3"/>
  </r>
  <r>
    <s v="TX500397"/>
    <x v="18"/>
    <x v="1"/>
    <n v="69.7"/>
    <n v="139.4"/>
    <d v="2025-01-18T00:00:00"/>
    <d v="2025-01-23T00:00:00"/>
    <s v="M"/>
    <x v="1"/>
    <x v="0"/>
    <x v="0"/>
    <x v="21"/>
    <x v="0"/>
    <x v="2"/>
    <x v="1"/>
  </r>
  <r>
    <s v="TX500398"/>
    <x v="2"/>
    <x v="9"/>
    <n v="83.6"/>
    <n v="418"/>
    <d v="2025-01-18T00:00:00"/>
    <d v="2025-01-18T00:00:00"/>
    <s v="F"/>
    <x v="4"/>
    <x v="0"/>
    <x v="0"/>
    <x v="1"/>
    <x v="7"/>
    <x v="2"/>
    <x v="2"/>
  </r>
  <r>
    <s v="TX500399"/>
    <x v="8"/>
    <x v="3"/>
    <n v="21.5"/>
    <n v="150.5"/>
    <d v="2025-01-18T00:00:00"/>
    <d v="2025-01-20T00:00:00"/>
    <s v="M"/>
    <x v="1"/>
    <x v="4"/>
    <x v="0"/>
    <x v="34"/>
    <x v="1"/>
    <x v="2"/>
    <x v="1"/>
  </r>
  <r>
    <s v="TX500400"/>
    <x v="8"/>
    <x v="8"/>
    <n v="28.6"/>
    <n v="228.8"/>
    <d v="2025-01-18T00:00:00"/>
    <d v="2025-01-19T00:00:00"/>
    <s v="M"/>
    <x v="0"/>
    <x v="0"/>
    <x v="0"/>
    <x v="3"/>
    <x v="3"/>
    <x v="2"/>
    <x v="1"/>
  </r>
  <r>
    <s v="TX500401"/>
    <x v="8"/>
    <x v="13"/>
    <n v="18.8"/>
    <n v="112.80000000000001"/>
    <d v="2025-01-18T00:00:00"/>
    <d v="2025-01-21T00:00:00"/>
    <s v="M"/>
    <x v="3"/>
    <x v="2"/>
    <x v="0"/>
    <x v="3"/>
    <x v="2"/>
    <x v="2"/>
    <x v="1"/>
  </r>
  <r>
    <s v="TX500402"/>
    <x v="10"/>
    <x v="12"/>
    <n v="35.1"/>
    <n v="140.4"/>
    <d v="2025-01-18T00:00:00"/>
    <d v="2025-01-18T00:00:00"/>
    <s v="F"/>
    <x v="1"/>
    <x v="1"/>
    <x v="0"/>
    <x v="3"/>
    <x v="7"/>
    <x v="2"/>
    <x v="2"/>
  </r>
  <r>
    <s v="TX500403"/>
    <x v="0"/>
    <x v="1"/>
    <n v="12.7"/>
    <n v="25.4"/>
    <d v="2025-01-18T00:00:00"/>
    <d v="2025-01-20T00:00:00"/>
    <s v="F"/>
    <x v="1"/>
    <x v="2"/>
    <x v="0"/>
    <x v="3"/>
    <x v="1"/>
    <x v="2"/>
    <x v="2"/>
  </r>
  <r>
    <s v="TX500404"/>
    <x v="8"/>
    <x v="9"/>
    <n v="27.4"/>
    <n v="137"/>
    <d v="2025-01-18T00:00:00"/>
    <d v="2025-01-20T00:00:00"/>
    <s v="O"/>
    <x v="0"/>
    <x v="0"/>
    <x v="0"/>
    <x v="3"/>
    <x v="1"/>
    <x v="2"/>
    <x v="3"/>
  </r>
  <r>
    <s v="TX500405"/>
    <x v="10"/>
    <x v="1"/>
    <n v="61.3"/>
    <n v="122.6"/>
    <d v="2025-01-18T00:00:00"/>
    <d v="2025-01-19T00:00:00"/>
    <s v="F"/>
    <x v="1"/>
    <x v="0"/>
    <x v="0"/>
    <x v="6"/>
    <x v="3"/>
    <x v="2"/>
    <x v="2"/>
  </r>
  <r>
    <s v="TX500406"/>
    <x v="8"/>
    <x v="1"/>
    <n v="64.7"/>
    <n v="129.4"/>
    <d v="2025-01-18T00:00:00"/>
    <d v="2025-01-20T00:00:00"/>
    <s v="F"/>
    <x v="3"/>
    <x v="2"/>
    <x v="0"/>
    <x v="6"/>
    <x v="1"/>
    <x v="2"/>
    <x v="2"/>
  </r>
  <r>
    <s v="TX500407"/>
    <x v="7"/>
    <x v="12"/>
    <n v="91.4"/>
    <n v="365.6"/>
    <d v="2025-01-18T00:00:00"/>
    <d v="2025-01-20T00:00:00"/>
    <s v="F"/>
    <x v="0"/>
    <x v="0"/>
    <x v="0"/>
    <x v="8"/>
    <x v="1"/>
    <x v="2"/>
    <x v="2"/>
  </r>
  <r>
    <s v="TX500408"/>
    <x v="0"/>
    <x v="1"/>
    <n v="33.1"/>
    <n v="66.2"/>
    <d v="2025-01-19T00:00:00"/>
    <d v="2025-01-20T00:00:00"/>
    <s v="M"/>
    <x v="0"/>
    <x v="2"/>
    <x v="0"/>
    <x v="8"/>
    <x v="3"/>
    <x v="3"/>
    <x v="1"/>
  </r>
  <r>
    <s v="TX500409"/>
    <x v="3"/>
    <x v="1"/>
    <n v="105.6"/>
    <n v="211.2"/>
    <d v="2025-01-19T00:00:00"/>
    <d v="2025-01-20T00:00:00"/>
    <s v="M"/>
    <x v="2"/>
    <x v="1"/>
    <x v="0"/>
    <x v="8"/>
    <x v="3"/>
    <x v="3"/>
    <x v="1"/>
  </r>
  <r>
    <s v="TX500410"/>
    <x v="10"/>
    <x v="2"/>
    <n v="46.4"/>
    <n v="139.19999999999999"/>
    <d v="2025-01-19T00:00:00"/>
    <d v="2025-01-20T00:00:00"/>
    <s v="M"/>
    <x v="2"/>
    <x v="0"/>
    <x v="0"/>
    <x v="9"/>
    <x v="3"/>
    <x v="3"/>
    <x v="1"/>
  </r>
  <r>
    <s v="TX500411"/>
    <x v="9"/>
    <x v="21"/>
    <n v="35.299999999999997"/>
    <n v="494.19999999999993"/>
    <d v="2025-01-19T00:00:00"/>
    <d v="2025-01-22T00:00:00"/>
    <s v="F"/>
    <x v="4"/>
    <x v="1"/>
    <x v="0"/>
    <x v="11"/>
    <x v="2"/>
    <x v="3"/>
    <x v="2"/>
  </r>
  <r>
    <s v="TX500412"/>
    <x v="0"/>
    <x v="1"/>
    <n v="16.100000000000001"/>
    <n v="32.200000000000003"/>
    <d v="2025-01-19T00:00:00"/>
    <d v="2025-01-21T00:00:00"/>
    <s v="M"/>
    <x v="3"/>
    <x v="2"/>
    <x v="0"/>
    <x v="32"/>
    <x v="1"/>
    <x v="3"/>
    <x v="1"/>
  </r>
  <r>
    <s v="TX500413"/>
    <x v="4"/>
    <x v="1"/>
    <n v="27.9"/>
    <n v="55.8"/>
    <d v="2025-01-19T00:00:00"/>
    <d v="2025-01-22T00:00:00"/>
    <s v="M"/>
    <x v="0"/>
    <x v="0"/>
    <x v="0"/>
    <x v="13"/>
    <x v="2"/>
    <x v="3"/>
    <x v="1"/>
  </r>
  <r>
    <s v="TX500414"/>
    <x v="8"/>
    <x v="0"/>
    <n v="47.1"/>
    <n v="47.1"/>
    <d v="2025-01-19T00:00:00"/>
    <d v="2025-01-27T00:00:00"/>
    <s v="F"/>
    <x v="1"/>
    <x v="0"/>
    <x v="0"/>
    <x v="2"/>
    <x v="9"/>
    <x v="3"/>
    <x v="2"/>
  </r>
  <r>
    <s v="TX500415"/>
    <x v="6"/>
    <x v="1"/>
    <n v="85"/>
    <n v="170"/>
    <d v="2025-01-19T00:00:00"/>
    <d v="2025-01-22T00:00:00"/>
    <s v=""/>
    <x v="2"/>
    <x v="2"/>
    <x v="0"/>
    <x v="22"/>
    <x v="2"/>
    <x v="3"/>
    <x v="0"/>
  </r>
  <r>
    <s v="TX500416"/>
    <x v="18"/>
    <x v="1"/>
    <n v="89"/>
    <n v="178"/>
    <d v="2025-01-19T00:00:00"/>
    <d v="2025-01-21T00:00:00"/>
    <s v="F"/>
    <x v="0"/>
    <x v="0"/>
    <x v="0"/>
    <x v="3"/>
    <x v="1"/>
    <x v="3"/>
    <x v="2"/>
  </r>
  <r>
    <s v="TX500417"/>
    <x v="16"/>
    <x v="2"/>
    <n v="36.6"/>
    <n v="109.80000000000001"/>
    <d v="2025-01-19T00:00:00"/>
    <d v="2025-01-20T00:00:00"/>
    <s v="O"/>
    <x v="3"/>
    <x v="2"/>
    <x v="0"/>
    <x v="3"/>
    <x v="3"/>
    <x v="3"/>
    <x v="3"/>
  </r>
  <r>
    <s v="TX500418"/>
    <x v="6"/>
    <x v="3"/>
    <n v="43.5"/>
    <n v="304.5"/>
    <d v="2025-01-19T00:00:00"/>
    <d v="2025-01-20T00:00:00"/>
    <s v="M"/>
    <x v="1"/>
    <x v="2"/>
    <x v="0"/>
    <x v="3"/>
    <x v="3"/>
    <x v="3"/>
    <x v="1"/>
  </r>
  <r>
    <s v="TX500419"/>
    <x v="9"/>
    <x v="10"/>
    <n v="30.5"/>
    <n v="579.5"/>
    <d v="2025-01-19T00:00:00"/>
    <d v="2025-01-19T00:00:00"/>
    <s v="F"/>
    <x v="3"/>
    <x v="0"/>
    <x v="0"/>
    <x v="3"/>
    <x v="7"/>
    <x v="3"/>
    <x v="2"/>
  </r>
  <r>
    <s v="TX500420"/>
    <x v="1"/>
    <x v="1"/>
    <n v="107.7"/>
    <n v="215.4"/>
    <d v="2025-01-19T00:00:00"/>
    <d v="2025-01-23T00:00:00"/>
    <s v="M"/>
    <x v="3"/>
    <x v="4"/>
    <x v="0"/>
    <x v="3"/>
    <x v="5"/>
    <x v="3"/>
    <x v="1"/>
  </r>
  <r>
    <s v="TX500421"/>
    <x v="17"/>
    <x v="18"/>
    <n v="57.1"/>
    <n v="1484.6000000000001"/>
    <d v="2025-01-19T00:00:00"/>
    <d v="2025-01-20T00:00:00"/>
    <s v="M"/>
    <x v="1"/>
    <x v="0"/>
    <x v="0"/>
    <x v="3"/>
    <x v="3"/>
    <x v="3"/>
    <x v="1"/>
  </r>
  <r>
    <s v="TX500422"/>
    <x v="2"/>
    <x v="7"/>
    <n v="111.7"/>
    <n v="1117"/>
    <d v="2025-01-19T00:00:00"/>
    <d v="2025-01-20T00:00:00"/>
    <s v="F"/>
    <x v="4"/>
    <x v="2"/>
    <x v="0"/>
    <x v="3"/>
    <x v="3"/>
    <x v="3"/>
    <x v="2"/>
  </r>
  <r>
    <s v="TX500423"/>
    <x v="18"/>
    <x v="3"/>
    <n v="44.3"/>
    <n v="310.09999999999997"/>
    <d v="2025-01-19T00:00:00"/>
    <d v="2025-01-22T00:00:00"/>
    <s v="M"/>
    <x v="3"/>
    <x v="2"/>
    <x v="0"/>
    <x v="3"/>
    <x v="2"/>
    <x v="3"/>
    <x v="1"/>
  </r>
  <r>
    <s v="TX500424"/>
    <x v="2"/>
    <x v="8"/>
    <n v="95.8"/>
    <n v="766.4"/>
    <d v="2025-01-19T00:00:00"/>
    <d v="2025-01-25T00:00:00"/>
    <s v="O"/>
    <x v="0"/>
    <x v="0"/>
    <x v="0"/>
    <x v="3"/>
    <x v="4"/>
    <x v="3"/>
    <x v="3"/>
  </r>
  <r>
    <s v="TX500425"/>
    <x v="10"/>
    <x v="3"/>
    <n v="22.6"/>
    <n v="158.20000000000002"/>
    <d v="2025-01-19T00:00:00"/>
    <d v="2025-01-22T00:00:00"/>
    <s v="F"/>
    <x v="3"/>
    <x v="1"/>
    <x v="0"/>
    <x v="3"/>
    <x v="2"/>
    <x v="3"/>
    <x v="2"/>
  </r>
  <r>
    <s v="TX500426"/>
    <x v="8"/>
    <x v="8"/>
    <n v="25.6"/>
    <n v="204.8"/>
    <d v="2025-01-19T00:00:00"/>
    <d v="2025-01-21T00:00:00"/>
    <s v="F"/>
    <x v="4"/>
    <x v="0"/>
    <x v="0"/>
    <x v="3"/>
    <x v="1"/>
    <x v="3"/>
    <x v="2"/>
  </r>
  <r>
    <s v="TX500427"/>
    <x v="6"/>
    <x v="27"/>
    <n v="54.3"/>
    <n v="868.8"/>
    <d v="2025-01-19T00:00:00"/>
    <d v="2025-01-22T00:00:00"/>
    <s v="F"/>
    <x v="4"/>
    <x v="0"/>
    <x v="0"/>
    <x v="3"/>
    <x v="2"/>
    <x v="3"/>
    <x v="2"/>
  </r>
  <r>
    <s v="TX500428"/>
    <x v="18"/>
    <x v="15"/>
    <n v="51.3"/>
    <n v="666.9"/>
    <d v="2025-01-19T00:00:00"/>
    <d v="2025-01-21T00:00:00"/>
    <s v="M"/>
    <x v="0"/>
    <x v="2"/>
    <x v="0"/>
    <x v="3"/>
    <x v="1"/>
    <x v="3"/>
    <x v="1"/>
  </r>
  <r>
    <s v="TX500429"/>
    <x v="0"/>
    <x v="8"/>
    <n v="25.6"/>
    <n v="204.8"/>
    <d v="2025-01-19T00:00:00"/>
    <d v="2025-01-20T00:00:00"/>
    <s v="F"/>
    <x v="1"/>
    <x v="1"/>
    <x v="0"/>
    <x v="3"/>
    <x v="3"/>
    <x v="3"/>
    <x v="2"/>
  </r>
  <r>
    <s v="TX500430"/>
    <x v="0"/>
    <x v="1"/>
    <n v="15.6"/>
    <n v="31.2"/>
    <d v="2025-01-19T00:00:00"/>
    <d v="2025-01-20T00:00:00"/>
    <s v="F"/>
    <x v="2"/>
    <x v="2"/>
    <x v="0"/>
    <x v="3"/>
    <x v="3"/>
    <x v="3"/>
    <x v="2"/>
  </r>
  <r>
    <s v="TX500431"/>
    <x v="8"/>
    <x v="2"/>
    <n v="30.3"/>
    <n v="90.9"/>
    <d v="2025-01-19T00:00:00"/>
    <d v="2025-01-23T00:00:00"/>
    <s v="F"/>
    <x v="0"/>
    <x v="1"/>
    <x v="0"/>
    <x v="3"/>
    <x v="5"/>
    <x v="3"/>
    <x v="2"/>
  </r>
  <r>
    <s v="TX500432"/>
    <x v="12"/>
    <x v="1"/>
    <n v="30.3"/>
    <n v="60.6"/>
    <d v="2025-01-19T00:00:00"/>
    <d v="2025-01-24T00:00:00"/>
    <s v="F"/>
    <x v="0"/>
    <x v="2"/>
    <x v="0"/>
    <x v="37"/>
    <x v="0"/>
    <x v="3"/>
    <x v="2"/>
  </r>
  <r>
    <s v="TX500433"/>
    <x v="10"/>
    <x v="2"/>
    <n v="53"/>
    <n v="159"/>
    <d v="2025-01-19T00:00:00"/>
    <d v="2025-01-26T00:00:00"/>
    <s v="F"/>
    <x v="2"/>
    <x v="0"/>
    <x v="0"/>
    <x v="24"/>
    <x v="6"/>
    <x v="3"/>
    <x v="2"/>
  </r>
  <r>
    <s v="TX500434"/>
    <x v="5"/>
    <x v="16"/>
    <n v="59.9"/>
    <n v="1078.2"/>
    <d v="2025-01-19T00:00:00"/>
    <d v="2025-01-22T00:00:00"/>
    <s v="M"/>
    <x v="2"/>
    <x v="4"/>
    <x v="0"/>
    <x v="25"/>
    <x v="2"/>
    <x v="3"/>
    <x v="1"/>
  </r>
  <r>
    <s v="TX500435"/>
    <x v="9"/>
    <x v="1"/>
    <n v="45.7"/>
    <n v="91.4"/>
    <d v="2025-01-19T00:00:00"/>
    <d v="2025-01-20T00:00:00"/>
    <s v="F"/>
    <x v="1"/>
    <x v="2"/>
    <x v="0"/>
    <x v="6"/>
    <x v="3"/>
    <x v="3"/>
    <x v="2"/>
  </r>
  <r>
    <s v="TX500436"/>
    <x v="8"/>
    <x v="12"/>
    <n v="46.1"/>
    <n v="184.4"/>
    <d v="2025-01-19T00:00:00"/>
    <d v="2025-01-20T00:00:00"/>
    <s v="M"/>
    <x v="0"/>
    <x v="0"/>
    <x v="0"/>
    <x v="6"/>
    <x v="3"/>
    <x v="3"/>
    <x v="1"/>
  </r>
  <r>
    <s v="TX500437"/>
    <x v="8"/>
    <x v="2"/>
    <n v="17.5"/>
    <n v="52.5"/>
    <d v="2025-01-19T00:00:00"/>
    <d v="2025-01-20T00:00:00"/>
    <s v="F"/>
    <x v="0"/>
    <x v="2"/>
    <x v="0"/>
    <x v="8"/>
    <x v="3"/>
    <x v="3"/>
    <x v="2"/>
  </r>
  <r>
    <s v="TX500438"/>
    <x v="10"/>
    <x v="2"/>
    <n v="36.5"/>
    <n v="109.5"/>
    <d v="2025-01-19T00:00:00"/>
    <d v="2025-01-30T00:00:00"/>
    <s v="M"/>
    <x v="2"/>
    <x v="0"/>
    <x v="0"/>
    <x v="8"/>
    <x v="11"/>
    <x v="3"/>
    <x v="1"/>
  </r>
  <r>
    <s v="TX500439"/>
    <x v="8"/>
    <x v="1"/>
    <n v="47.5"/>
    <n v="95"/>
    <d v="2025-01-20T00:00:00"/>
    <d v="2025-01-22T00:00:00"/>
    <s v="F"/>
    <x v="1"/>
    <x v="0"/>
    <x v="0"/>
    <x v="8"/>
    <x v="1"/>
    <x v="3"/>
    <x v="2"/>
  </r>
  <r>
    <s v="TX500440"/>
    <x v="6"/>
    <x v="9"/>
    <n v="45.6"/>
    <n v="228"/>
    <d v="2025-01-20T00:00:00"/>
    <d v="2025-01-22T00:00:00"/>
    <s v="F"/>
    <x v="0"/>
    <x v="2"/>
    <x v="0"/>
    <x v="8"/>
    <x v="1"/>
    <x v="3"/>
    <x v="2"/>
  </r>
  <r>
    <s v="TX500441"/>
    <x v="9"/>
    <x v="1"/>
    <n v="50.5"/>
    <n v="101"/>
    <d v="2025-01-20T00:00:00"/>
    <d v="2025-01-22T00:00:00"/>
    <s v="M"/>
    <x v="0"/>
    <x v="1"/>
    <x v="0"/>
    <x v="17"/>
    <x v="1"/>
    <x v="3"/>
    <x v="1"/>
  </r>
  <r>
    <s v="TX500442"/>
    <x v="2"/>
    <x v="7"/>
    <n v="99.8"/>
    <n v="998"/>
    <d v="2025-01-20T00:00:00"/>
    <d v="2025-01-23T00:00:00"/>
    <s v="F"/>
    <x v="2"/>
    <x v="1"/>
    <x v="0"/>
    <x v="17"/>
    <x v="2"/>
    <x v="3"/>
    <x v="2"/>
  </r>
  <r>
    <s v="TX500443"/>
    <x v="8"/>
    <x v="20"/>
    <n v="19.2"/>
    <n v="288"/>
    <d v="2025-01-20T00:00:00"/>
    <d v="2025-01-22T00:00:00"/>
    <s v="O"/>
    <x v="4"/>
    <x v="1"/>
    <x v="0"/>
    <x v="26"/>
    <x v="1"/>
    <x v="3"/>
    <x v="3"/>
  </r>
  <r>
    <s v="TX500444"/>
    <x v="17"/>
    <x v="2"/>
    <n v="22.6"/>
    <n v="67.800000000000011"/>
    <d v="2025-01-20T00:00:00"/>
    <d v="2025-01-21T00:00:00"/>
    <s v="M"/>
    <x v="1"/>
    <x v="0"/>
    <x v="0"/>
    <x v="11"/>
    <x v="3"/>
    <x v="3"/>
    <x v="1"/>
  </r>
  <r>
    <s v="TX500445"/>
    <x v="1"/>
    <x v="20"/>
    <n v="126.9"/>
    <n v="1903.5"/>
    <d v="2025-01-20T00:00:00"/>
    <d v="2025-01-22T00:00:00"/>
    <s v="F"/>
    <x v="0"/>
    <x v="2"/>
    <x v="0"/>
    <x v="11"/>
    <x v="1"/>
    <x v="3"/>
    <x v="2"/>
  </r>
  <r>
    <s v="TX500446"/>
    <x v="2"/>
    <x v="1"/>
    <n v="100.3"/>
    <n v="200.6"/>
    <d v="2025-01-20T00:00:00"/>
    <d v="2025-01-21T00:00:00"/>
    <s v="F"/>
    <x v="0"/>
    <x v="1"/>
    <x v="0"/>
    <x v="11"/>
    <x v="3"/>
    <x v="3"/>
    <x v="2"/>
  </r>
  <r>
    <s v="TX500447"/>
    <x v="4"/>
    <x v="16"/>
    <n v="24.6"/>
    <n v="442.8"/>
    <d v="2025-01-20T00:00:00"/>
    <d v="2025-01-21T00:00:00"/>
    <s v="F"/>
    <x v="4"/>
    <x v="0"/>
    <x v="0"/>
    <x v="13"/>
    <x v="3"/>
    <x v="3"/>
    <x v="2"/>
  </r>
  <r>
    <s v="TX500448"/>
    <x v="6"/>
    <x v="1"/>
    <n v="47.3"/>
    <n v="94.6"/>
    <d v="2025-01-20T00:00:00"/>
    <d v="2025-01-21T00:00:00"/>
    <s v="M"/>
    <x v="1"/>
    <x v="2"/>
    <x v="0"/>
    <x v="13"/>
    <x v="3"/>
    <x v="3"/>
    <x v="1"/>
  </r>
  <r>
    <s v="TX500449"/>
    <x v="6"/>
    <x v="3"/>
    <n v="40.799999999999997"/>
    <n v="285.59999999999997"/>
    <d v="2025-01-20T00:00:00"/>
    <d v="2025-01-23T00:00:00"/>
    <s v="F"/>
    <x v="2"/>
    <x v="2"/>
    <x v="0"/>
    <x v="21"/>
    <x v="2"/>
    <x v="3"/>
    <x v="2"/>
  </r>
  <r>
    <s v="TX500450"/>
    <x v="8"/>
    <x v="8"/>
    <n v="49.2"/>
    <n v="393.6"/>
    <d v="2025-01-20T00:00:00"/>
    <d v="2025-01-22T00:00:00"/>
    <s v="F"/>
    <x v="0"/>
    <x v="0"/>
    <x v="0"/>
    <x v="1"/>
    <x v="1"/>
    <x v="3"/>
    <x v="2"/>
  </r>
  <r>
    <s v="TX500451"/>
    <x v="8"/>
    <x v="0"/>
    <n v="28.5"/>
    <n v="28.5"/>
    <d v="2025-01-20T00:00:00"/>
    <d v="2025-01-22T00:00:00"/>
    <s v=""/>
    <x v="2"/>
    <x v="1"/>
    <x v="0"/>
    <x v="3"/>
    <x v="1"/>
    <x v="3"/>
    <x v="0"/>
  </r>
  <r>
    <s v="TX500452"/>
    <x v="18"/>
    <x v="1"/>
    <n v="36.799999999999997"/>
    <n v="73.599999999999994"/>
    <d v="2025-01-20T00:00:00"/>
    <d v="2025-01-26T00:00:00"/>
    <s v="F"/>
    <x v="0"/>
    <x v="2"/>
    <x v="0"/>
    <x v="3"/>
    <x v="4"/>
    <x v="3"/>
    <x v="2"/>
  </r>
  <r>
    <s v="TX500453"/>
    <x v="7"/>
    <x v="2"/>
    <n v="33.5"/>
    <n v="100.5"/>
    <d v="2025-01-20T00:00:00"/>
    <d v="2025-01-21T00:00:00"/>
    <s v="F"/>
    <x v="0"/>
    <x v="1"/>
    <x v="0"/>
    <x v="3"/>
    <x v="3"/>
    <x v="3"/>
    <x v="2"/>
  </r>
  <r>
    <s v="TX500454"/>
    <x v="6"/>
    <x v="13"/>
    <n v="62.5"/>
    <n v="375"/>
    <d v="2025-01-20T00:00:00"/>
    <d v="2025-01-22T00:00:00"/>
    <s v="F"/>
    <x v="0"/>
    <x v="0"/>
    <x v="0"/>
    <x v="3"/>
    <x v="1"/>
    <x v="3"/>
    <x v="2"/>
  </r>
  <r>
    <s v="TX500455"/>
    <x v="8"/>
    <x v="29"/>
    <n v="47.9"/>
    <n v="1916"/>
    <d v="2025-01-20T00:00:00"/>
    <d v="2025-01-21T00:00:00"/>
    <s v="F"/>
    <x v="3"/>
    <x v="0"/>
    <x v="0"/>
    <x v="3"/>
    <x v="3"/>
    <x v="3"/>
    <x v="2"/>
  </r>
  <r>
    <s v="TX500456"/>
    <x v="6"/>
    <x v="13"/>
    <n v="92.9"/>
    <n v="557.40000000000009"/>
    <d v="2025-01-20T00:00:00"/>
    <d v="2025-01-31T00:00:00"/>
    <s v="F"/>
    <x v="0"/>
    <x v="4"/>
    <x v="0"/>
    <x v="3"/>
    <x v="11"/>
    <x v="3"/>
    <x v="2"/>
  </r>
  <r>
    <s v="TX500457"/>
    <x v="12"/>
    <x v="2"/>
    <n v="44.1"/>
    <n v="132.30000000000001"/>
    <d v="2025-01-20T00:00:00"/>
    <d v="2025-01-20T00:00:00"/>
    <s v="F"/>
    <x v="1"/>
    <x v="1"/>
    <x v="0"/>
    <x v="43"/>
    <x v="7"/>
    <x v="3"/>
    <x v="2"/>
  </r>
  <r>
    <s v="TX500458"/>
    <x v="0"/>
    <x v="0"/>
    <n v="11.4"/>
    <n v="11.4"/>
    <d v="2025-01-21T00:00:00"/>
    <d v="2025-01-23T00:00:00"/>
    <s v="F"/>
    <x v="2"/>
    <x v="0"/>
    <x v="0"/>
    <x v="5"/>
    <x v="1"/>
    <x v="3"/>
    <x v="2"/>
  </r>
  <r>
    <s v="TX500459"/>
    <x v="6"/>
    <x v="0"/>
    <n v="83.7"/>
    <n v="83.7"/>
    <d v="2025-01-21T00:00:00"/>
    <d v="2025-01-23T00:00:00"/>
    <s v="F"/>
    <x v="0"/>
    <x v="2"/>
    <x v="0"/>
    <x v="6"/>
    <x v="1"/>
    <x v="3"/>
    <x v="2"/>
  </r>
  <r>
    <s v="TX500460"/>
    <x v="10"/>
    <x v="1"/>
    <n v="23.2"/>
    <n v="46.4"/>
    <d v="2025-01-21T00:00:00"/>
    <d v="2025-01-22T00:00:00"/>
    <s v="M"/>
    <x v="2"/>
    <x v="0"/>
    <x v="0"/>
    <x v="8"/>
    <x v="3"/>
    <x v="3"/>
    <x v="1"/>
  </r>
  <r>
    <s v="TX500461"/>
    <x v="2"/>
    <x v="0"/>
    <n v="162.1"/>
    <n v="162.1"/>
    <d v="2025-01-21T00:00:00"/>
    <d v="2025-01-24T00:00:00"/>
    <s v="F"/>
    <x v="0"/>
    <x v="2"/>
    <x v="0"/>
    <x v="9"/>
    <x v="2"/>
    <x v="3"/>
    <x v="2"/>
  </r>
  <r>
    <s v="TX500462"/>
    <x v="6"/>
    <x v="12"/>
    <n v="49.2"/>
    <n v="196.8"/>
    <d v="2025-01-21T00:00:00"/>
    <d v="2025-01-25T00:00:00"/>
    <s v="M"/>
    <x v="1"/>
    <x v="0"/>
    <x v="0"/>
    <x v="9"/>
    <x v="5"/>
    <x v="3"/>
    <x v="1"/>
  </r>
  <r>
    <s v="TX500463"/>
    <x v="1"/>
    <x v="1"/>
    <n v="61"/>
    <n v="122"/>
    <d v="2025-01-21T00:00:00"/>
    <d v="2025-01-22T00:00:00"/>
    <s v="M"/>
    <x v="3"/>
    <x v="0"/>
    <x v="0"/>
    <x v="10"/>
    <x v="3"/>
    <x v="3"/>
    <x v="1"/>
  </r>
  <r>
    <s v="TX500464"/>
    <x v="2"/>
    <x v="7"/>
    <n v="53.1"/>
    <n v="531"/>
    <d v="2025-01-21T00:00:00"/>
    <d v="2025-01-23T00:00:00"/>
    <s v="M"/>
    <x v="0"/>
    <x v="0"/>
    <x v="0"/>
    <x v="11"/>
    <x v="1"/>
    <x v="3"/>
    <x v="1"/>
  </r>
  <r>
    <s v="TX500465"/>
    <x v="4"/>
    <x v="1"/>
    <n v="22.4"/>
    <n v="44.8"/>
    <d v="2025-01-21T00:00:00"/>
    <d v="2025-01-23T00:00:00"/>
    <s v=""/>
    <x v="1"/>
    <x v="2"/>
    <x v="0"/>
    <x v="13"/>
    <x v="1"/>
    <x v="3"/>
    <x v="0"/>
  </r>
  <r>
    <s v="TX500466"/>
    <x v="1"/>
    <x v="9"/>
    <n v="75.3"/>
    <n v="376.5"/>
    <d v="2025-01-21T00:00:00"/>
    <d v="2025-01-22T00:00:00"/>
    <s v="M"/>
    <x v="0"/>
    <x v="0"/>
    <x v="0"/>
    <x v="21"/>
    <x v="3"/>
    <x v="3"/>
    <x v="1"/>
  </r>
  <r>
    <s v="TX500467"/>
    <x v="6"/>
    <x v="0"/>
    <n v="48.5"/>
    <n v="48.5"/>
    <d v="2025-01-21T00:00:00"/>
    <d v="2025-01-22T00:00:00"/>
    <s v="F"/>
    <x v="0"/>
    <x v="1"/>
    <x v="0"/>
    <x v="21"/>
    <x v="3"/>
    <x v="3"/>
    <x v="2"/>
  </r>
  <r>
    <s v="TX500468"/>
    <x v="6"/>
    <x v="0"/>
    <n v="42.6"/>
    <n v="42.6"/>
    <d v="2025-01-21T00:00:00"/>
    <d v="2025-01-25T00:00:00"/>
    <s v="F"/>
    <x v="3"/>
    <x v="0"/>
    <x v="0"/>
    <x v="1"/>
    <x v="5"/>
    <x v="3"/>
    <x v="2"/>
  </r>
  <r>
    <s v="TX500469"/>
    <x v="5"/>
    <x v="9"/>
    <n v="49"/>
    <n v="245"/>
    <d v="2025-01-21T00:00:00"/>
    <d v="2025-01-22T00:00:00"/>
    <s v="M"/>
    <x v="0"/>
    <x v="0"/>
    <x v="0"/>
    <x v="22"/>
    <x v="3"/>
    <x v="3"/>
    <x v="1"/>
  </r>
  <r>
    <s v="TX500470"/>
    <x v="8"/>
    <x v="2"/>
    <n v="31.3"/>
    <n v="93.9"/>
    <d v="2025-01-21T00:00:00"/>
    <d v="2025-01-22T00:00:00"/>
    <s v="M"/>
    <x v="2"/>
    <x v="1"/>
    <x v="0"/>
    <x v="3"/>
    <x v="3"/>
    <x v="3"/>
    <x v="1"/>
  </r>
  <r>
    <s v="TX500471"/>
    <x v="2"/>
    <x v="1"/>
    <n v="85.4"/>
    <n v="170.8"/>
    <d v="2025-01-21T00:00:00"/>
    <d v="2025-01-22T00:00:00"/>
    <s v="F"/>
    <x v="2"/>
    <x v="0"/>
    <x v="0"/>
    <x v="3"/>
    <x v="3"/>
    <x v="3"/>
    <x v="2"/>
  </r>
  <r>
    <s v="TX500472"/>
    <x v="8"/>
    <x v="12"/>
    <n v="40"/>
    <n v="160"/>
    <d v="2025-01-21T00:00:00"/>
    <d v="2025-01-22T00:00:00"/>
    <s v="O"/>
    <x v="0"/>
    <x v="2"/>
    <x v="0"/>
    <x v="3"/>
    <x v="3"/>
    <x v="3"/>
    <x v="3"/>
  </r>
  <r>
    <s v="TX500473"/>
    <x v="5"/>
    <x v="1"/>
    <n v="38.5"/>
    <n v="77"/>
    <d v="2025-01-21T00:00:00"/>
    <d v="2025-01-24T00:00:00"/>
    <s v="M"/>
    <x v="1"/>
    <x v="2"/>
    <x v="0"/>
    <x v="3"/>
    <x v="2"/>
    <x v="3"/>
    <x v="1"/>
  </r>
  <r>
    <s v="TX500474"/>
    <x v="2"/>
    <x v="1"/>
    <n v="57.8"/>
    <n v="115.6"/>
    <d v="2025-01-21T00:00:00"/>
    <d v="2025-01-22T00:00:00"/>
    <s v=""/>
    <x v="0"/>
    <x v="0"/>
    <x v="0"/>
    <x v="3"/>
    <x v="3"/>
    <x v="3"/>
    <x v="0"/>
  </r>
  <r>
    <s v="TX500475"/>
    <x v="8"/>
    <x v="0"/>
    <n v="19.2"/>
    <n v="19.2"/>
    <d v="2025-01-21T00:00:00"/>
    <d v="2025-01-22T00:00:00"/>
    <s v="F"/>
    <x v="0"/>
    <x v="4"/>
    <x v="0"/>
    <x v="3"/>
    <x v="3"/>
    <x v="3"/>
    <x v="2"/>
  </r>
  <r>
    <s v="TX500476"/>
    <x v="6"/>
    <x v="13"/>
    <n v="114.8"/>
    <n v="688.8"/>
    <d v="2025-01-21T00:00:00"/>
    <d v="2025-01-24T00:00:00"/>
    <s v="M"/>
    <x v="1"/>
    <x v="1"/>
    <x v="0"/>
    <x v="3"/>
    <x v="2"/>
    <x v="3"/>
    <x v="1"/>
  </r>
  <r>
    <s v="TX500477"/>
    <x v="10"/>
    <x v="3"/>
    <n v="48.4"/>
    <n v="338.8"/>
    <d v="2025-01-21T00:00:00"/>
    <d v="2025-01-24T00:00:00"/>
    <s v="F"/>
    <x v="3"/>
    <x v="1"/>
    <x v="0"/>
    <x v="3"/>
    <x v="2"/>
    <x v="3"/>
    <x v="2"/>
  </r>
  <r>
    <s v="TX500478"/>
    <x v="9"/>
    <x v="9"/>
    <n v="73.2"/>
    <n v="366"/>
    <d v="2025-01-21T00:00:00"/>
    <d v="2025-01-22T00:00:00"/>
    <s v="F"/>
    <x v="1"/>
    <x v="4"/>
    <x v="0"/>
    <x v="3"/>
    <x v="3"/>
    <x v="3"/>
    <x v="2"/>
  </r>
  <r>
    <s v="TX500479"/>
    <x v="15"/>
    <x v="1"/>
    <n v="48.6"/>
    <n v="97.2"/>
    <d v="2025-01-21T00:00:00"/>
    <d v="2025-01-25T00:00:00"/>
    <s v="F"/>
    <x v="3"/>
    <x v="0"/>
    <x v="0"/>
    <x v="3"/>
    <x v="5"/>
    <x v="3"/>
    <x v="2"/>
  </r>
  <r>
    <s v="TX500480"/>
    <x v="0"/>
    <x v="13"/>
    <n v="48.7"/>
    <n v="292.20000000000005"/>
    <d v="2025-01-21T00:00:00"/>
    <d v="2025-01-22T00:00:00"/>
    <s v="M"/>
    <x v="0"/>
    <x v="0"/>
    <x v="0"/>
    <x v="3"/>
    <x v="3"/>
    <x v="3"/>
    <x v="1"/>
  </r>
  <r>
    <s v="TX500481"/>
    <x v="4"/>
    <x v="1"/>
    <n v="32.200000000000003"/>
    <n v="64.400000000000006"/>
    <d v="2025-01-21T00:00:00"/>
    <d v="2025-01-24T00:00:00"/>
    <s v="M"/>
    <x v="2"/>
    <x v="2"/>
    <x v="0"/>
    <x v="3"/>
    <x v="2"/>
    <x v="3"/>
    <x v="1"/>
  </r>
  <r>
    <s v="TX500482"/>
    <x v="15"/>
    <x v="8"/>
    <n v="25.8"/>
    <n v="206.4"/>
    <d v="2025-01-21T00:00:00"/>
    <d v="2025-01-22T00:00:00"/>
    <s v="M"/>
    <x v="0"/>
    <x v="0"/>
    <x v="0"/>
    <x v="37"/>
    <x v="3"/>
    <x v="3"/>
    <x v="1"/>
  </r>
  <r>
    <s v="TX500483"/>
    <x v="6"/>
    <x v="1"/>
    <n v="94.8"/>
    <n v="189.6"/>
    <d v="2025-01-22T00:00:00"/>
    <d v="2025-01-25T00:00:00"/>
    <s v="F"/>
    <x v="1"/>
    <x v="1"/>
    <x v="0"/>
    <x v="25"/>
    <x v="2"/>
    <x v="3"/>
    <x v="2"/>
  </r>
  <r>
    <s v="TX500484"/>
    <x v="15"/>
    <x v="30"/>
    <n v="56.8"/>
    <n v="1420"/>
    <d v="2025-01-22T00:00:00"/>
    <d v="2025-01-25T00:00:00"/>
    <s v="M"/>
    <x v="0"/>
    <x v="0"/>
    <x v="0"/>
    <x v="25"/>
    <x v="2"/>
    <x v="3"/>
    <x v="1"/>
  </r>
  <r>
    <s v="TX500485"/>
    <x v="8"/>
    <x v="27"/>
    <n v="18.3"/>
    <n v="292.8"/>
    <d v="2025-01-22T00:00:00"/>
    <d v="2025-01-29T00:00:00"/>
    <s v="F"/>
    <x v="2"/>
    <x v="2"/>
    <x v="0"/>
    <x v="23"/>
    <x v="6"/>
    <x v="3"/>
    <x v="2"/>
  </r>
  <r>
    <s v="TX500486"/>
    <x v="0"/>
    <x v="2"/>
    <n v="16.8"/>
    <n v="50.400000000000006"/>
    <d v="2025-01-22T00:00:00"/>
    <d v="2025-01-27T00:00:00"/>
    <s v="F"/>
    <x v="2"/>
    <x v="2"/>
    <x v="0"/>
    <x v="8"/>
    <x v="0"/>
    <x v="3"/>
    <x v="2"/>
  </r>
  <r>
    <s v="TX500487"/>
    <x v="5"/>
    <x v="5"/>
    <n v="35.799999999999997"/>
    <n v="393.79999999999995"/>
    <d v="2025-01-22T00:00:00"/>
    <d v="2025-01-23T00:00:00"/>
    <s v="M"/>
    <x v="1"/>
    <x v="0"/>
    <x v="0"/>
    <x v="17"/>
    <x v="3"/>
    <x v="3"/>
    <x v="1"/>
  </r>
  <r>
    <s v="TX500488"/>
    <x v="18"/>
    <x v="0"/>
    <n v="64.900000000000006"/>
    <n v="64.900000000000006"/>
    <d v="2025-01-22T00:00:00"/>
    <d v="2025-01-23T00:00:00"/>
    <s v="M"/>
    <x v="0"/>
    <x v="1"/>
    <x v="0"/>
    <x v="17"/>
    <x v="3"/>
    <x v="3"/>
    <x v="1"/>
  </r>
  <r>
    <s v="TX500489"/>
    <x v="18"/>
    <x v="0"/>
    <n v="28.5"/>
    <n v="28.5"/>
    <d v="2025-01-22T00:00:00"/>
    <d v="2025-01-24T00:00:00"/>
    <s v=""/>
    <x v="1"/>
    <x v="0"/>
    <x v="0"/>
    <x v="9"/>
    <x v="1"/>
    <x v="3"/>
    <x v="0"/>
  </r>
  <r>
    <s v="TX500490"/>
    <x v="18"/>
    <x v="1"/>
    <n v="103.5"/>
    <n v="207"/>
    <d v="2025-01-22T00:00:00"/>
    <d v="2025-01-24T00:00:00"/>
    <s v="F"/>
    <x v="1"/>
    <x v="0"/>
    <x v="0"/>
    <x v="10"/>
    <x v="1"/>
    <x v="3"/>
    <x v="2"/>
  </r>
  <r>
    <s v="TX500491"/>
    <x v="4"/>
    <x v="1"/>
    <n v="41.2"/>
    <n v="82.4"/>
    <d v="2025-01-22T00:00:00"/>
    <d v="2025-01-23T00:00:00"/>
    <s v="F"/>
    <x v="1"/>
    <x v="0"/>
    <x v="0"/>
    <x v="10"/>
    <x v="3"/>
    <x v="3"/>
    <x v="2"/>
  </r>
  <r>
    <s v="TX500492"/>
    <x v="9"/>
    <x v="0"/>
    <n v="37.799999999999997"/>
    <n v="37.799999999999997"/>
    <d v="2025-01-22T00:00:00"/>
    <d v="2025-01-24T00:00:00"/>
    <s v="F"/>
    <x v="3"/>
    <x v="3"/>
    <x v="0"/>
    <x v="11"/>
    <x v="1"/>
    <x v="3"/>
    <x v="2"/>
  </r>
  <r>
    <s v="TX500493"/>
    <x v="8"/>
    <x v="1"/>
    <n v="42.6"/>
    <n v="85.2"/>
    <d v="2025-01-22T00:00:00"/>
    <d v="2025-01-24T00:00:00"/>
    <s v="F"/>
    <x v="4"/>
    <x v="0"/>
    <x v="0"/>
    <x v="11"/>
    <x v="1"/>
    <x v="3"/>
    <x v="2"/>
  </r>
  <r>
    <s v="TX500494"/>
    <x v="8"/>
    <x v="7"/>
    <n v="15.2"/>
    <n v="152"/>
    <d v="2025-01-22T00:00:00"/>
    <d v="2025-01-24T00:00:00"/>
    <s v="F"/>
    <x v="2"/>
    <x v="0"/>
    <x v="0"/>
    <x v="11"/>
    <x v="1"/>
    <x v="3"/>
    <x v="2"/>
  </r>
  <r>
    <s v="TX500495"/>
    <x v="7"/>
    <x v="12"/>
    <n v="83.4"/>
    <n v="333.6"/>
    <d v="2025-01-22T00:00:00"/>
    <d v="2025-01-23T00:00:00"/>
    <s v="F"/>
    <x v="2"/>
    <x v="1"/>
    <x v="0"/>
    <x v="18"/>
    <x v="3"/>
    <x v="3"/>
    <x v="2"/>
  </r>
  <r>
    <s v="TX500496"/>
    <x v="19"/>
    <x v="1"/>
    <n v="27.7"/>
    <n v="55.4"/>
    <d v="2025-01-22T00:00:00"/>
    <d v="2025-01-23T00:00:00"/>
    <s v="F"/>
    <x v="0"/>
    <x v="1"/>
    <x v="0"/>
    <x v="13"/>
    <x v="3"/>
    <x v="3"/>
    <x v="2"/>
  </r>
  <r>
    <s v="TX500497"/>
    <x v="10"/>
    <x v="4"/>
    <n v="20.8"/>
    <n v="249.60000000000002"/>
    <d v="2025-01-22T00:00:00"/>
    <d v="2025-01-23T00:00:00"/>
    <s v="M"/>
    <x v="3"/>
    <x v="0"/>
    <x v="0"/>
    <x v="13"/>
    <x v="3"/>
    <x v="3"/>
    <x v="1"/>
  </r>
  <r>
    <s v="TX500498"/>
    <x v="11"/>
    <x v="1"/>
    <n v="72.7"/>
    <n v="145.4"/>
    <d v="2025-01-22T00:00:00"/>
    <d v="2025-01-26T00:00:00"/>
    <s v="F"/>
    <x v="4"/>
    <x v="2"/>
    <x v="0"/>
    <x v="44"/>
    <x v="5"/>
    <x v="3"/>
    <x v="2"/>
  </r>
  <r>
    <s v="TX500499"/>
    <x v="10"/>
    <x v="12"/>
    <n v="38.6"/>
    <n v="154.4"/>
    <d v="2025-01-22T00:00:00"/>
    <d v="2025-01-23T00:00:00"/>
    <s v="M"/>
    <x v="0"/>
    <x v="2"/>
    <x v="0"/>
    <x v="22"/>
    <x v="3"/>
    <x v="3"/>
    <x v="1"/>
  </r>
  <r>
    <s v="TX500500"/>
    <x v="8"/>
    <x v="3"/>
    <n v="33.1"/>
    <n v="231.70000000000002"/>
    <d v="2025-01-22T00:00:00"/>
    <d v="2025-01-23T00:00:00"/>
    <s v="O"/>
    <x v="4"/>
    <x v="3"/>
    <x v="0"/>
    <x v="3"/>
    <x v="3"/>
    <x v="3"/>
    <x v="3"/>
  </r>
  <r>
    <s v="TX500501"/>
    <x v="10"/>
    <x v="1"/>
    <n v="30.5"/>
    <n v="61"/>
    <d v="2025-01-22T00:00:00"/>
    <d v="2025-01-22T00:00:00"/>
    <s v=""/>
    <x v="1"/>
    <x v="1"/>
    <x v="0"/>
    <x v="3"/>
    <x v="7"/>
    <x v="3"/>
    <x v="0"/>
  </r>
  <r>
    <s v="TX500502"/>
    <x v="9"/>
    <x v="1"/>
    <n v="69.599999999999994"/>
    <n v="139.19999999999999"/>
    <d v="2025-01-22T00:00:00"/>
    <d v="2025-01-23T00:00:00"/>
    <s v="M"/>
    <x v="0"/>
    <x v="1"/>
    <x v="0"/>
    <x v="3"/>
    <x v="3"/>
    <x v="3"/>
    <x v="1"/>
  </r>
  <r>
    <s v="TX500503"/>
    <x v="11"/>
    <x v="0"/>
    <n v="42.4"/>
    <n v="42.4"/>
    <d v="2025-01-22T00:00:00"/>
    <d v="2025-01-26T00:00:00"/>
    <s v="F"/>
    <x v="1"/>
    <x v="0"/>
    <x v="0"/>
    <x v="3"/>
    <x v="5"/>
    <x v="3"/>
    <x v="2"/>
  </r>
  <r>
    <s v="TX500504"/>
    <x v="17"/>
    <x v="0"/>
    <n v="32.200000000000003"/>
    <n v="32.200000000000003"/>
    <d v="2025-01-22T00:00:00"/>
    <d v="2025-01-25T00:00:00"/>
    <s v="F"/>
    <x v="2"/>
    <x v="1"/>
    <x v="0"/>
    <x v="3"/>
    <x v="2"/>
    <x v="3"/>
    <x v="2"/>
  </r>
  <r>
    <s v="TX500505"/>
    <x v="6"/>
    <x v="1"/>
    <n v="41.5"/>
    <n v="83"/>
    <d v="2025-01-22T00:00:00"/>
    <d v="2025-01-25T00:00:00"/>
    <s v="F"/>
    <x v="0"/>
    <x v="2"/>
    <x v="0"/>
    <x v="3"/>
    <x v="2"/>
    <x v="3"/>
    <x v="2"/>
  </r>
  <r>
    <s v="TX500506"/>
    <x v="16"/>
    <x v="11"/>
    <n v="58.9"/>
    <n v="530.1"/>
    <d v="2025-01-22T00:00:00"/>
    <d v="2025-01-26T00:00:00"/>
    <s v="F"/>
    <x v="3"/>
    <x v="0"/>
    <x v="0"/>
    <x v="3"/>
    <x v="5"/>
    <x v="3"/>
    <x v="2"/>
  </r>
  <r>
    <s v="TX500507"/>
    <x v="2"/>
    <x v="0"/>
    <n v="57.1"/>
    <n v="57.1"/>
    <d v="2025-01-22T00:00:00"/>
    <d v="2025-01-25T00:00:00"/>
    <s v="F"/>
    <x v="1"/>
    <x v="0"/>
    <x v="0"/>
    <x v="3"/>
    <x v="2"/>
    <x v="3"/>
    <x v="2"/>
  </r>
  <r>
    <s v="TX500508"/>
    <x v="6"/>
    <x v="0"/>
    <n v="57.2"/>
    <n v="57.2"/>
    <d v="2025-01-22T00:00:00"/>
    <d v="2025-01-24T00:00:00"/>
    <s v="M"/>
    <x v="1"/>
    <x v="0"/>
    <x v="0"/>
    <x v="3"/>
    <x v="1"/>
    <x v="3"/>
    <x v="1"/>
  </r>
  <r>
    <s v="TX500509"/>
    <x v="8"/>
    <x v="1"/>
    <n v="35.1"/>
    <n v="70.2"/>
    <d v="2025-01-22T00:00:00"/>
    <d v="2025-01-23T00:00:00"/>
    <s v="M"/>
    <x v="1"/>
    <x v="0"/>
    <x v="0"/>
    <x v="6"/>
    <x v="3"/>
    <x v="3"/>
    <x v="1"/>
  </r>
  <r>
    <s v="TX500510"/>
    <x v="1"/>
    <x v="0"/>
    <n v="52.1"/>
    <n v="52.1"/>
    <d v="2025-01-22T00:00:00"/>
    <d v="2025-01-24T00:00:00"/>
    <s v="F"/>
    <x v="4"/>
    <x v="1"/>
    <x v="0"/>
    <x v="8"/>
    <x v="1"/>
    <x v="3"/>
    <x v="2"/>
  </r>
  <r>
    <s v="TX500511"/>
    <x v="13"/>
    <x v="2"/>
    <n v="59.8"/>
    <n v="179.39999999999998"/>
    <d v="2025-01-22T00:00:00"/>
    <d v="2025-01-24T00:00:00"/>
    <s v="F"/>
    <x v="4"/>
    <x v="1"/>
    <x v="0"/>
    <x v="8"/>
    <x v="1"/>
    <x v="3"/>
    <x v="2"/>
  </r>
  <r>
    <s v="TX500512"/>
    <x v="3"/>
    <x v="12"/>
    <n v="83.3"/>
    <n v="333.2"/>
    <d v="2025-01-22T00:00:00"/>
    <d v="2025-01-22T00:00:00"/>
    <s v=""/>
    <x v="2"/>
    <x v="0"/>
    <x v="0"/>
    <x v="8"/>
    <x v="7"/>
    <x v="3"/>
    <x v="0"/>
  </r>
  <r>
    <s v="TX500513"/>
    <x v="15"/>
    <x v="4"/>
    <n v="41.3"/>
    <n v="495.59999999999997"/>
    <d v="2025-01-22T00:00:00"/>
    <d v="2025-01-23T00:00:00"/>
    <s v="F"/>
    <x v="1"/>
    <x v="0"/>
    <x v="0"/>
    <x v="8"/>
    <x v="3"/>
    <x v="3"/>
    <x v="2"/>
  </r>
  <r>
    <s v="TX500514"/>
    <x v="8"/>
    <x v="9"/>
    <n v="16"/>
    <n v="80"/>
    <d v="2025-01-22T00:00:00"/>
    <d v="2025-01-24T00:00:00"/>
    <s v="M"/>
    <x v="4"/>
    <x v="1"/>
    <x v="0"/>
    <x v="9"/>
    <x v="1"/>
    <x v="3"/>
    <x v="1"/>
  </r>
  <r>
    <s v="TX500515"/>
    <x v="10"/>
    <x v="1"/>
    <n v="20.8"/>
    <n v="41.6"/>
    <d v="2025-01-23T00:00:00"/>
    <d v="2025-01-25T00:00:00"/>
    <s v="M"/>
    <x v="0"/>
    <x v="2"/>
    <x v="0"/>
    <x v="11"/>
    <x v="1"/>
    <x v="3"/>
    <x v="1"/>
  </r>
  <r>
    <s v="TX500516"/>
    <x v="8"/>
    <x v="31"/>
    <n v="27.1"/>
    <n v="758.80000000000007"/>
    <d v="2025-01-23T00:00:00"/>
    <d v="2025-01-24T00:00:00"/>
    <s v=""/>
    <x v="3"/>
    <x v="2"/>
    <x v="0"/>
    <x v="11"/>
    <x v="3"/>
    <x v="3"/>
    <x v="0"/>
  </r>
  <r>
    <s v="TX500517"/>
    <x v="10"/>
    <x v="1"/>
    <n v="38.9"/>
    <n v="77.8"/>
    <d v="2025-01-23T00:00:00"/>
    <d v="2025-01-25T00:00:00"/>
    <s v="F"/>
    <x v="0"/>
    <x v="0"/>
    <x v="0"/>
    <x v="18"/>
    <x v="1"/>
    <x v="3"/>
    <x v="2"/>
  </r>
  <r>
    <s v="TX500518"/>
    <x v="0"/>
    <x v="1"/>
    <n v="10.8"/>
    <n v="21.6"/>
    <d v="2025-01-23T00:00:00"/>
    <d v="2025-01-26T00:00:00"/>
    <s v="F"/>
    <x v="1"/>
    <x v="2"/>
    <x v="0"/>
    <x v="45"/>
    <x v="2"/>
    <x v="3"/>
    <x v="2"/>
  </r>
  <r>
    <s v="TX500519"/>
    <x v="4"/>
    <x v="15"/>
    <n v="48.4"/>
    <n v="629.19999999999993"/>
    <d v="2025-01-23T00:00:00"/>
    <d v="2025-01-27T00:00:00"/>
    <s v="F"/>
    <x v="0"/>
    <x v="0"/>
    <x v="0"/>
    <x v="21"/>
    <x v="5"/>
    <x v="3"/>
    <x v="2"/>
  </r>
  <r>
    <s v="TX500520"/>
    <x v="4"/>
    <x v="2"/>
    <n v="29.2"/>
    <n v="87.6"/>
    <d v="2025-01-23T00:00:00"/>
    <d v="2025-01-26T00:00:00"/>
    <s v="F"/>
    <x v="1"/>
    <x v="1"/>
    <x v="0"/>
    <x v="2"/>
    <x v="2"/>
    <x v="3"/>
    <x v="2"/>
  </r>
  <r>
    <s v="TX500521"/>
    <x v="4"/>
    <x v="1"/>
    <n v="25.1"/>
    <n v="50.2"/>
    <d v="2025-01-23T00:00:00"/>
    <d v="2025-01-24T00:00:00"/>
    <s v="M"/>
    <x v="0"/>
    <x v="1"/>
    <x v="0"/>
    <x v="2"/>
    <x v="3"/>
    <x v="3"/>
    <x v="1"/>
  </r>
  <r>
    <s v="TX500522"/>
    <x v="7"/>
    <x v="2"/>
    <n v="65.599999999999994"/>
    <n v="196.79999999999998"/>
    <d v="2025-01-23T00:00:00"/>
    <d v="2025-01-23T00:00:00"/>
    <s v="F"/>
    <x v="2"/>
    <x v="1"/>
    <x v="0"/>
    <x v="3"/>
    <x v="7"/>
    <x v="3"/>
    <x v="2"/>
  </r>
  <r>
    <s v="TX500523"/>
    <x v="2"/>
    <x v="1"/>
    <n v="57.3"/>
    <n v="114.6"/>
    <d v="2025-01-23T00:00:00"/>
    <d v="2025-01-23T00:00:00"/>
    <s v=""/>
    <x v="0"/>
    <x v="0"/>
    <x v="0"/>
    <x v="3"/>
    <x v="7"/>
    <x v="3"/>
    <x v="0"/>
  </r>
  <r>
    <s v="TX500524"/>
    <x v="9"/>
    <x v="12"/>
    <n v="22.4"/>
    <n v="89.6"/>
    <d v="2025-01-23T00:00:00"/>
    <d v="2025-01-24T00:00:00"/>
    <s v="F"/>
    <x v="2"/>
    <x v="2"/>
    <x v="0"/>
    <x v="3"/>
    <x v="3"/>
    <x v="3"/>
    <x v="2"/>
  </r>
  <r>
    <s v="TX500525"/>
    <x v="12"/>
    <x v="11"/>
    <n v="45.7"/>
    <n v="411.3"/>
    <d v="2025-01-23T00:00:00"/>
    <d v="2025-01-24T00:00:00"/>
    <s v="F"/>
    <x v="0"/>
    <x v="0"/>
    <x v="0"/>
    <x v="3"/>
    <x v="3"/>
    <x v="3"/>
    <x v="2"/>
  </r>
  <r>
    <s v="TX500526"/>
    <x v="8"/>
    <x v="1"/>
    <n v="29.3"/>
    <n v="58.6"/>
    <d v="2025-01-23T00:00:00"/>
    <d v="2025-01-24T00:00:00"/>
    <s v="M"/>
    <x v="1"/>
    <x v="0"/>
    <x v="0"/>
    <x v="3"/>
    <x v="3"/>
    <x v="3"/>
    <x v="1"/>
  </r>
  <r>
    <s v="TX500527"/>
    <x v="18"/>
    <x v="32"/>
    <n v="74"/>
    <n v="1628"/>
    <d v="2025-01-23T00:00:00"/>
    <d v="2025-01-24T00:00:00"/>
    <s v="M"/>
    <x v="0"/>
    <x v="2"/>
    <x v="0"/>
    <x v="3"/>
    <x v="3"/>
    <x v="3"/>
    <x v="1"/>
  </r>
  <r>
    <s v="TX500528"/>
    <x v="14"/>
    <x v="1"/>
    <n v="39.200000000000003"/>
    <n v="78.400000000000006"/>
    <d v="2025-01-23T00:00:00"/>
    <d v="2025-01-25T00:00:00"/>
    <s v="F"/>
    <x v="1"/>
    <x v="0"/>
    <x v="0"/>
    <x v="3"/>
    <x v="1"/>
    <x v="3"/>
    <x v="2"/>
  </r>
  <r>
    <s v="TX500529"/>
    <x v="4"/>
    <x v="14"/>
    <n v="62.7"/>
    <n v="1065.9000000000001"/>
    <d v="2025-01-23T00:00:00"/>
    <d v="2025-01-24T00:00:00"/>
    <s v="F"/>
    <x v="2"/>
    <x v="1"/>
    <x v="0"/>
    <x v="3"/>
    <x v="3"/>
    <x v="3"/>
    <x v="2"/>
  </r>
  <r>
    <s v="TX500530"/>
    <x v="10"/>
    <x v="1"/>
    <n v="60.1"/>
    <n v="120.2"/>
    <d v="2025-01-23T00:00:00"/>
    <d v="2025-01-24T00:00:00"/>
    <s v="F"/>
    <x v="3"/>
    <x v="0"/>
    <x v="0"/>
    <x v="3"/>
    <x v="3"/>
    <x v="3"/>
    <x v="2"/>
  </r>
  <r>
    <s v="TX500531"/>
    <x v="0"/>
    <x v="12"/>
    <n v="11.2"/>
    <n v="44.8"/>
    <d v="2025-01-23T00:00:00"/>
    <d v="2025-01-24T00:00:00"/>
    <s v="F"/>
    <x v="3"/>
    <x v="1"/>
    <x v="0"/>
    <x v="3"/>
    <x v="3"/>
    <x v="3"/>
    <x v="2"/>
  </r>
  <r>
    <s v="TX500532"/>
    <x v="8"/>
    <x v="1"/>
    <n v="22.9"/>
    <n v="45.8"/>
    <d v="2025-01-23T00:00:00"/>
    <d v="2025-01-24T00:00:00"/>
    <s v="F"/>
    <x v="0"/>
    <x v="0"/>
    <x v="0"/>
    <x v="6"/>
    <x v="3"/>
    <x v="3"/>
    <x v="2"/>
  </r>
  <r>
    <s v="TX500533"/>
    <x v="1"/>
    <x v="1"/>
    <n v="37.6"/>
    <n v="75.2"/>
    <d v="2025-01-23T00:00:00"/>
    <d v="2025-01-26T00:00:00"/>
    <s v="F"/>
    <x v="0"/>
    <x v="0"/>
    <x v="0"/>
    <x v="6"/>
    <x v="2"/>
    <x v="3"/>
    <x v="2"/>
  </r>
  <r>
    <s v="TX500534"/>
    <x v="6"/>
    <x v="0"/>
    <n v="42.4"/>
    <n v="42.4"/>
    <d v="2025-01-23T00:00:00"/>
    <d v="2025-01-24T00:00:00"/>
    <s v="F"/>
    <x v="3"/>
    <x v="2"/>
    <x v="0"/>
    <x v="6"/>
    <x v="3"/>
    <x v="3"/>
    <x v="2"/>
  </r>
  <r>
    <s v="TX500535"/>
    <x v="8"/>
    <x v="1"/>
    <n v="19.600000000000001"/>
    <n v="39.200000000000003"/>
    <d v="2025-01-23T00:00:00"/>
    <d v="2025-01-27T00:00:00"/>
    <s v="F"/>
    <x v="2"/>
    <x v="0"/>
    <x v="0"/>
    <x v="7"/>
    <x v="5"/>
    <x v="3"/>
    <x v="2"/>
  </r>
  <r>
    <s v="TX500536"/>
    <x v="9"/>
    <x v="0"/>
    <n v="90.5"/>
    <n v="90.5"/>
    <d v="2025-01-23T00:00:00"/>
    <d v="2025-01-26T00:00:00"/>
    <s v="F"/>
    <x v="2"/>
    <x v="0"/>
    <x v="0"/>
    <x v="7"/>
    <x v="2"/>
    <x v="3"/>
    <x v="2"/>
  </r>
  <r>
    <s v="TX500537"/>
    <x v="16"/>
    <x v="5"/>
    <n v="33.9"/>
    <n v="372.9"/>
    <d v="2025-01-23T00:00:00"/>
    <d v="2025-01-24T00:00:00"/>
    <s v="M"/>
    <x v="2"/>
    <x v="1"/>
    <x v="0"/>
    <x v="7"/>
    <x v="3"/>
    <x v="3"/>
    <x v="1"/>
  </r>
  <r>
    <s v="TX500538"/>
    <x v="0"/>
    <x v="1"/>
    <n v="32.799999999999997"/>
    <n v="65.599999999999994"/>
    <d v="2025-01-23T00:00:00"/>
    <d v="2025-01-25T00:00:00"/>
    <s v="F"/>
    <x v="4"/>
    <x v="4"/>
    <x v="0"/>
    <x v="8"/>
    <x v="1"/>
    <x v="3"/>
    <x v="2"/>
  </r>
  <r>
    <s v="TX500539"/>
    <x v="15"/>
    <x v="0"/>
    <n v="49.9"/>
    <n v="49.9"/>
    <d v="2025-01-23T00:00:00"/>
    <d v="2025-01-24T00:00:00"/>
    <s v="M"/>
    <x v="3"/>
    <x v="1"/>
    <x v="0"/>
    <x v="8"/>
    <x v="3"/>
    <x v="3"/>
    <x v="1"/>
  </r>
  <r>
    <s v="TX500540"/>
    <x v="7"/>
    <x v="9"/>
    <n v="79.2"/>
    <n v="396"/>
    <d v="2025-01-23T00:00:00"/>
    <d v="2025-01-24T00:00:00"/>
    <s v="F"/>
    <x v="4"/>
    <x v="0"/>
    <x v="0"/>
    <x v="8"/>
    <x v="3"/>
    <x v="3"/>
    <x v="2"/>
  </r>
  <r>
    <s v="TX500541"/>
    <x v="8"/>
    <x v="27"/>
    <n v="19.5"/>
    <n v="312"/>
    <d v="2025-01-23T00:00:00"/>
    <d v="2025-01-25T00:00:00"/>
    <s v="M"/>
    <x v="3"/>
    <x v="2"/>
    <x v="0"/>
    <x v="8"/>
    <x v="1"/>
    <x v="3"/>
    <x v="1"/>
  </r>
  <r>
    <s v="TX500542"/>
    <x v="8"/>
    <x v="12"/>
    <n v="18"/>
    <n v="72"/>
    <d v="2025-01-23T00:00:00"/>
    <d v="2025-01-24T00:00:00"/>
    <s v="M"/>
    <x v="1"/>
    <x v="0"/>
    <x v="0"/>
    <x v="10"/>
    <x v="3"/>
    <x v="3"/>
    <x v="1"/>
  </r>
  <r>
    <s v="TX500543"/>
    <x v="9"/>
    <x v="2"/>
    <n v="45.9"/>
    <n v="137.69999999999999"/>
    <d v="2025-01-23T00:00:00"/>
    <d v="2025-01-25T00:00:00"/>
    <s v="F"/>
    <x v="1"/>
    <x v="1"/>
    <x v="0"/>
    <x v="10"/>
    <x v="1"/>
    <x v="3"/>
    <x v="2"/>
  </r>
  <r>
    <s v="TX500544"/>
    <x v="11"/>
    <x v="0"/>
    <n v="41.2"/>
    <n v="41.2"/>
    <d v="2025-01-23T00:00:00"/>
    <d v="2025-01-25T00:00:00"/>
    <s v="F"/>
    <x v="1"/>
    <x v="2"/>
    <x v="0"/>
    <x v="11"/>
    <x v="1"/>
    <x v="3"/>
    <x v="2"/>
  </r>
  <r>
    <s v="TX500545"/>
    <x v="2"/>
    <x v="7"/>
    <n v="167.2"/>
    <n v="1672"/>
    <d v="2025-01-23T00:00:00"/>
    <d v="2025-01-25T00:00:00"/>
    <s v="F"/>
    <x v="2"/>
    <x v="2"/>
    <x v="0"/>
    <x v="32"/>
    <x v="1"/>
    <x v="3"/>
    <x v="2"/>
  </r>
  <r>
    <s v="TX500546"/>
    <x v="6"/>
    <x v="17"/>
    <n v="74.5"/>
    <n v="2235"/>
    <d v="2025-01-24T00:00:00"/>
    <d v="2025-01-27T00:00:00"/>
    <s v="F"/>
    <x v="1"/>
    <x v="2"/>
    <x v="0"/>
    <x v="38"/>
    <x v="2"/>
    <x v="3"/>
    <x v="2"/>
  </r>
  <r>
    <s v="TX500547"/>
    <x v="7"/>
    <x v="12"/>
    <n v="39.299999999999997"/>
    <n v="157.19999999999999"/>
    <d v="2025-01-24T00:00:00"/>
    <d v="2025-01-25T00:00:00"/>
    <s v=""/>
    <x v="2"/>
    <x v="0"/>
    <x v="0"/>
    <x v="19"/>
    <x v="3"/>
    <x v="3"/>
    <x v="0"/>
  </r>
  <r>
    <s v="TX500548"/>
    <x v="9"/>
    <x v="0"/>
    <n v="68.5"/>
    <n v="68.5"/>
    <d v="2025-01-24T00:00:00"/>
    <d v="2025-01-27T00:00:00"/>
    <s v="M"/>
    <x v="1"/>
    <x v="2"/>
    <x v="0"/>
    <x v="12"/>
    <x v="2"/>
    <x v="3"/>
    <x v="1"/>
  </r>
  <r>
    <s v="TX500549"/>
    <x v="0"/>
    <x v="2"/>
    <n v="22.5"/>
    <n v="67.5"/>
    <d v="2025-01-24T00:00:00"/>
    <d v="2025-01-24T00:00:00"/>
    <s v="F"/>
    <x v="4"/>
    <x v="0"/>
    <x v="0"/>
    <x v="13"/>
    <x v="7"/>
    <x v="3"/>
    <x v="2"/>
  </r>
  <r>
    <s v="TX500550"/>
    <x v="1"/>
    <x v="0"/>
    <n v="48"/>
    <n v="48"/>
    <d v="2025-01-24T00:00:00"/>
    <d v="2025-01-25T00:00:00"/>
    <s v="O"/>
    <x v="4"/>
    <x v="1"/>
    <x v="0"/>
    <x v="46"/>
    <x v="3"/>
    <x v="3"/>
    <x v="3"/>
  </r>
  <r>
    <s v="TX500551"/>
    <x v="6"/>
    <x v="0"/>
    <n v="94"/>
    <n v="94"/>
    <d v="2025-01-24T00:00:00"/>
    <d v="2025-01-25T00:00:00"/>
    <s v="M"/>
    <x v="3"/>
    <x v="1"/>
    <x v="0"/>
    <x v="1"/>
    <x v="3"/>
    <x v="3"/>
    <x v="1"/>
  </r>
  <r>
    <s v="TX500552"/>
    <x v="8"/>
    <x v="2"/>
    <n v="21.9"/>
    <n v="65.699999999999989"/>
    <d v="2025-01-24T00:00:00"/>
    <d v="2025-01-25T00:00:00"/>
    <s v="F"/>
    <x v="0"/>
    <x v="0"/>
    <x v="0"/>
    <x v="44"/>
    <x v="3"/>
    <x v="3"/>
    <x v="2"/>
  </r>
  <r>
    <s v="TX500553"/>
    <x v="6"/>
    <x v="3"/>
    <n v="64.900000000000006"/>
    <n v="454.30000000000007"/>
    <d v="2025-01-24T00:00:00"/>
    <d v="2025-01-25T00:00:00"/>
    <s v="F"/>
    <x v="0"/>
    <x v="0"/>
    <x v="0"/>
    <x v="3"/>
    <x v="3"/>
    <x v="3"/>
    <x v="2"/>
  </r>
  <r>
    <s v="TX500554"/>
    <x v="12"/>
    <x v="0"/>
    <n v="52.9"/>
    <n v="52.9"/>
    <d v="2025-01-24T00:00:00"/>
    <d v="2025-01-24T00:00:00"/>
    <s v="F"/>
    <x v="1"/>
    <x v="1"/>
    <x v="0"/>
    <x v="3"/>
    <x v="7"/>
    <x v="3"/>
    <x v="2"/>
  </r>
  <r>
    <s v="TX500555"/>
    <x v="8"/>
    <x v="2"/>
    <n v="25.5"/>
    <n v="76.5"/>
    <d v="2025-01-24T00:00:00"/>
    <d v="2025-01-25T00:00:00"/>
    <s v="F"/>
    <x v="1"/>
    <x v="2"/>
    <x v="0"/>
    <x v="3"/>
    <x v="3"/>
    <x v="3"/>
    <x v="2"/>
  </r>
  <r>
    <s v="TX500556"/>
    <x v="6"/>
    <x v="2"/>
    <n v="51.9"/>
    <n v="155.69999999999999"/>
    <d v="2025-01-24T00:00:00"/>
    <d v="2025-01-25T00:00:00"/>
    <s v="F"/>
    <x v="3"/>
    <x v="0"/>
    <x v="0"/>
    <x v="3"/>
    <x v="3"/>
    <x v="3"/>
    <x v="2"/>
  </r>
  <r>
    <s v="TX500557"/>
    <x v="5"/>
    <x v="0"/>
    <n v="46.3"/>
    <n v="46.3"/>
    <d v="2025-01-24T00:00:00"/>
    <d v="2025-01-27T00:00:00"/>
    <s v="F"/>
    <x v="4"/>
    <x v="0"/>
    <x v="0"/>
    <x v="3"/>
    <x v="2"/>
    <x v="3"/>
    <x v="2"/>
  </r>
  <r>
    <s v="TX500558"/>
    <x v="6"/>
    <x v="1"/>
    <n v="68.2"/>
    <n v="136.4"/>
    <d v="2025-01-24T00:00:00"/>
    <d v="2025-01-26T00:00:00"/>
    <s v="F"/>
    <x v="3"/>
    <x v="0"/>
    <x v="0"/>
    <x v="3"/>
    <x v="1"/>
    <x v="3"/>
    <x v="2"/>
  </r>
  <r>
    <s v="TX500559"/>
    <x v="1"/>
    <x v="0"/>
    <n v="40.299999999999997"/>
    <n v="40.299999999999997"/>
    <d v="2025-01-24T00:00:00"/>
    <d v="2025-01-25T00:00:00"/>
    <s v="M"/>
    <x v="0"/>
    <x v="1"/>
    <x v="0"/>
    <x v="3"/>
    <x v="3"/>
    <x v="3"/>
    <x v="1"/>
  </r>
  <r>
    <s v="TX500560"/>
    <x v="2"/>
    <x v="2"/>
    <n v="91.3"/>
    <n v="273.89999999999998"/>
    <d v="2025-01-24T00:00:00"/>
    <d v="2025-01-29T00:00:00"/>
    <s v="M"/>
    <x v="0"/>
    <x v="2"/>
    <x v="0"/>
    <x v="6"/>
    <x v="0"/>
    <x v="3"/>
    <x v="1"/>
  </r>
  <r>
    <s v="TX500561"/>
    <x v="0"/>
    <x v="2"/>
    <n v="11.9"/>
    <n v="35.700000000000003"/>
    <d v="2025-01-24T00:00:00"/>
    <d v="2025-01-25T00:00:00"/>
    <s v="F"/>
    <x v="0"/>
    <x v="1"/>
    <x v="0"/>
    <x v="6"/>
    <x v="3"/>
    <x v="3"/>
    <x v="2"/>
  </r>
  <r>
    <s v="TX500562"/>
    <x v="2"/>
    <x v="1"/>
    <n v="63.5"/>
    <n v="127"/>
    <d v="2025-01-24T00:00:00"/>
    <d v="2025-01-26T00:00:00"/>
    <s v="M"/>
    <x v="1"/>
    <x v="0"/>
    <x v="0"/>
    <x v="6"/>
    <x v="1"/>
    <x v="3"/>
    <x v="1"/>
  </r>
  <r>
    <s v="TX500563"/>
    <x v="4"/>
    <x v="1"/>
    <n v="27.1"/>
    <n v="54.2"/>
    <d v="2025-01-24T00:00:00"/>
    <d v="2025-01-27T00:00:00"/>
    <s v="M"/>
    <x v="2"/>
    <x v="2"/>
    <x v="0"/>
    <x v="6"/>
    <x v="2"/>
    <x v="3"/>
    <x v="1"/>
  </r>
  <r>
    <s v="TX500564"/>
    <x v="1"/>
    <x v="1"/>
    <n v="82.1"/>
    <n v="164.2"/>
    <d v="2025-01-25T00:00:00"/>
    <d v="2025-01-28T00:00:00"/>
    <s v="M"/>
    <x v="1"/>
    <x v="1"/>
    <x v="0"/>
    <x v="7"/>
    <x v="2"/>
    <x v="3"/>
    <x v="1"/>
  </r>
  <r>
    <s v="TX500565"/>
    <x v="3"/>
    <x v="9"/>
    <n v="42.9"/>
    <n v="214.5"/>
    <d v="2025-01-25T00:00:00"/>
    <d v="2025-01-27T00:00:00"/>
    <s v="F"/>
    <x v="1"/>
    <x v="0"/>
    <x v="0"/>
    <x v="8"/>
    <x v="1"/>
    <x v="3"/>
    <x v="2"/>
  </r>
  <r>
    <s v="TX500566"/>
    <x v="8"/>
    <x v="5"/>
    <n v="37.9"/>
    <n v="416.9"/>
    <d v="2025-01-25T00:00:00"/>
    <d v="2025-02-01T00:00:00"/>
    <s v="M"/>
    <x v="0"/>
    <x v="0"/>
    <x v="0"/>
    <x v="8"/>
    <x v="6"/>
    <x v="3"/>
    <x v="1"/>
  </r>
  <r>
    <s v="TX500567"/>
    <x v="0"/>
    <x v="0"/>
    <n v="22.4"/>
    <n v="22.4"/>
    <d v="2025-01-25T00:00:00"/>
    <d v="2025-01-26T00:00:00"/>
    <s v="F"/>
    <x v="0"/>
    <x v="1"/>
    <x v="0"/>
    <x v="17"/>
    <x v="3"/>
    <x v="3"/>
    <x v="2"/>
  </r>
  <r>
    <s v="TX500568"/>
    <x v="2"/>
    <x v="15"/>
    <n v="79.900000000000006"/>
    <n v="1038.7"/>
    <d v="2025-01-25T00:00:00"/>
    <d v="2025-02-07T00:00:00"/>
    <s v="F"/>
    <x v="3"/>
    <x v="1"/>
    <x v="0"/>
    <x v="11"/>
    <x v="10"/>
    <x v="3"/>
    <x v="2"/>
  </r>
  <r>
    <s v="TX500569"/>
    <x v="1"/>
    <x v="0"/>
    <n v="70.599999999999994"/>
    <n v="70.599999999999994"/>
    <d v="2025-01-25T00:00:00"/>
    <d v="2025-01-28T00:00:00"/>
    <s v="F"/>
    <x v="0"/>
    <x v="1"/>
    <x v="0"/>
    <x v="11"/>
    <x v="2"/>
    <x v="3"/>
    <x v="2"/>
  </r>
  <r>
    <s v="TX500570"/>
    <x v="6"/>
    <x v="0"/>
    <n v="49.5"/>
    <n v="49.5"/>
    <d v="2025-01-25T00:00:00"/>
    <d v="2025-01-27T00:00:00"/>
    <s v="M"/>
    <x v="0"/>
    <x v="0"/>
    <x v="0"/>
    <x v="13"/>
    <x v="1"/>
    <x v="3"/>
    <x v="1"/>
  </r>
  <r>
    <s v="TX500571"/>
    <x v="2"/>
    <x v="1"/>
    <n v="96.6"/>
    <n v="193.2"/>
    <d v="2025-01-25T00:00:00"/>
    <d v="2025-01-27T00:00:00"/>
    <s v="M"/>
    <x v="0"/>
    <x v="0"/>
    <x v="0"/>
    <x v="21"/>
    <x v="1"/>
    <x v="3"/>
    <x v="1"/>
  </r>
  <r>
    <s v="TX500572"/>
    <x v="6"/>
    <x v="1"/>
    <n v="52.8"/>
    <n v="105.6"/>
    <d v="2025-01-25T00:00:00"/>
    <d v="2025-01-26T00:00:00"/>
    <s v="F"/>
    <x v="1"/>
    <x v="1"/>
    <x v="0"/>
    <x v="21"/>
    <x v="3"/>
    <x v="3"/>
    <x v="2"/>
  </r>
  <r>
    <s v="TX500573"/>
    <x v="2"/>
    <x v="0"/>
    <n v="101.7"/>
    <n v="101.7"/>
    <d v="2025-01-25T00:00:00"/>
    <d v="2025-01-26T00:00:00"/>
    <s v="M"/>
    <x v="0"/>
    <x v="0"/>
    <x v="0"/>
    <x v="1"/>
    <x v="3"/>
    <x v="3"/>
    <x v="1"/>
  </r>
  <r>
    <s v="TX500574"/>
    <x v="4"/>
    <x v="9"/>
    <n v="26.9"/>
    <n v="134.5"/>
    <d v="2025-01-25T00:00:00"/>
    <d v="2025-01-30T00:00:00"/>
    <s v="F"/>
    <x v="1"/>
    <x v="1"/>
    <x v="0"/>
    <x v="22"/>
    <x v="0"/>
    <x v="3"/>
    <x v="2"/>
  </r>
  <r>
    <s v="TX500575"/>
    <x v="2"/>
    <x v="12"/>
    <n v="211"/>
    <n v="844"/>
    <d v="2025-01-25T00:00:00"/>
    <d v="2025-01-25T00:00:00"/>
    <s v="F"/>
    <x v="1"/>
    <x v="1"/>
    <x v="0"/>
    <x v="3"/>
    <x v="7"/>
    <x v="3"/>
    <x v="2"/>
  </r>
  <r>
    <s v="TX500576"/>
    <x v="0"/>
    <x v="12"/>
    <n v="21.1"/>
    <n v="84.4"/>
    <d v="2025-01-25T00:00:00"/>
    <d v="2025-01-28T00:00:00"/>
    <s v="M"/>
    <x v="4"/>
    <x v="0"/>
    <x v="0"/>
    <x v="3"/>
    <x v="2"/>
    <x v="3"/>
    <x v="1"/>
  </r>
  <r>
    <s v="TX500577"/>
    <x v="10"/>
    <x v="0"/>
    <n v="26.6"/>
    <n v="26.6"/>
    <d v="2025-01-25T00:00:00"/>
    <d v="2025-01-27T00:00:00"/>
    <s v="M"/>
    <x v="0"/>
    <x v="4"/>
    <x v="0"/>
    <x v="3"/>
    <x v="1"/>
    <x v="3"/>
    <x v="1"/>
  </r>
  <r>
    <s v="TX500578"/>
    <x v="12"/>
    <x v="12"/>
    <n v="51.2"/>
    <n v="204.8"/>
    <d v="2025-01-25T00:00:00"/>
    <d v="2025-01-26T00:00:00"/>
    <s v="F"/>
    <x v="3"/>
    <x v="0"/>
    <x v="0"/>
    <x v="47"/>
    <x v="3"/>
    <x v="3"/>
    <x v="2"/>
  </r>
  <r>
    <s v="TX500579"/>
    <x v="0"/>
    <x v="9"/>
    <n v="10.6"/>
    <n v="53"/>
    <d v="2025-01-25T00:00:00"/>
    <d v="2025-01-29T00:00:00"/>
    <s v="F"/>
    <x v="0"/>
    <x v="0"/>
    <x v="0"/>
    <x v="8"/>
    <x v="5"/>
    <x v="3"/>
    <x v="2"/>
  </r>
  <r>
    <s v="TX500580"/>
    <x v="6"/>
    <x v="2"/>
    <n v="43.4"/>
    <n v="130.19999999999999"/>
    <d v="2025-01-25T00:00:00"/>
    <d v="2025-01-28T00:00:00"/>
    <s v="F"/>
    <x v="4"/>
    <x v="0"/>
    <x v="0"/>
    <x v="8"/>
    <x v="2"/>
    <x v="3"/>
    <x v="2"/>
  </r>
  <r>
    <s v="TX500581"/>
    <x v="12"/>
    <x v="0"/>
    <n v="80"/>
    <n v="80"/>
    <d v="2025-01-25T00:00:00"/>
    <d v="2025-01-25T00:00:00"/>
    <s v="F"/>
    <x v="0"/>
    <x v="2"/>
    <x v="0"/>
    <x v="8"/>
    <x v="7"/>
    <x v="3"/>
    <x v="2"/>
  </r>
  <r>
    <s v="TX500582"/>
    <x v="10"/>
    <x v="12"/>
    <n v="64.7"/>
    <n v="258.8"/>
    <d v="2025-01-25T00:00:00"/>
    <d v="2025-01-27T00:00:00"/>
    <s v="F"/>
    <x v="1"/>
    <x v="4"/>
    <x v="0"/>
    <x v="8"/>
    <x v="1"/>
    <x v="3"/>
    <x v="2"/>
  </r>
  <r>
    <s v="TX500583"/>
    <x v="8"/>
    <x v="5"/>
    <n v="26.3"/>
    <n v="289.3"/>
    <d v="2025-01-26T00:00:00"/>
    <d v="2025-01-26T00:00:00"/>
    <s v="F"/>
    <x v="4"/>
    <x v="1"/>
    <x v="0"/>
    <x v="26"/>
    <x v="7"/>
    <x v="4"/>
    <x v="2"/>
  </r>
  <r>
    <s v="TX500584"/>
    <x v="10"/>
    <x v="0"/>
    <n v="28.5"/>
    <n v="28.5"/>
    <d v="2025-01-26T00:00:00"/>
    <d v="2025-01-26T00:00:00"/>
    <s v="M"/>
    <x v="0"/>
    <x v="1"/>
    <x v="0"/>
    <x v="9"/>
    <x v="7"/>
    <x v="4"/>
    <x v="1"/>
  </r>
  <r>
    <s v="TX500585"/>
    <x v="17"/>
    <x v="0"/>
    <n v="47.8"/>
    <n v="47.8"/>
    <d v="2025-01-26T00:00:00"/>
    <d v="2025-01-28T00:00:00"/>
    <s v="F"/>
    <x v="0"/>
    <x v="1"/>
    <x v="0"/>
    <x v="9"/>
    <x v="1"/>
    <x v="4"/>
    <x v="2"/>
  </r>
  <r>
    <s v="TX500586"/>
    <x v="10"/>
    <x v="2"/>
    <n v="42.8"/>
    <n v="128.39999999999998"/>
    <d v="2025-01-26T00:00:00"/>
    <d v="2025-01-29T00:00:00"/>
    <s v="F"/>
    <x v="4"/>
    <x v="1"/>
    <x v="0"/>
    <x v="11"/>
    <x v="2"/>
    <x v="4"/>
    <x v="2"/>
  </r>
  <r>
    <s v="TX500587"/>
    <x v="6"/>
    <x v="9"/>
    <n v="46.8"/>
    <n v="234"/>
    <d v="2025-01-26T00:00:00"/>
    <d v="2025-01-31T00:00:00"/>
    <s v="F"/>
    <x v="1"/>
    <x v="2"/>
    <x v="0"/>
    <x v="11"/>
    <x v="0"/>
    <x v="4"/>
    <x v="2"/>
  </r>
  <r>
    <s v="TX500588"/>
    <x v="1"/>
    <x v="7"/>
    <n v="64.099999999999994"/>
    <n v="641"/>
    <d v="2025-01-26T00:00:00"/>
    <d v="2025-01-27T00:00:00"/>
    <s v="M"/>
    <x v="1"/>
    <x v="0"/>
    <x v="0"/>
    <x v="11"/>
    <x v="3"/>
    <x v="4"/>
    <x v="1"/>
  </r>
  <r>
    <s v="TX500589"/>
    <x v="2"/>
    <x v="0"/>
    <n v="89.1"/>
    <n v="89.1"/>
    <d v="2025-01-26T00:00:00"/>
    <d v="2025-01-27T00:00:00"/>
    <s v="F"/>
    <x v="0"/>
    <x v="1"/>
    <x v="0"/>
    <x v="20"/>
    <x v="3"/>
    <x v="4"/>
    <x v="2"/>
  </r>
  <r>
    <s v="TX500590"/>
    <x v="2"/>
    <x v="2"/>
    <n v="83.1"/>
    <n v="249.29999999999998"/>
    <d v="2025-01-26T00:00:00"/>
    <d v="2025-01-27T00:00:00"/>
    <s v="F"/>
    <x v="2"/>
    <x v="1"/>
    <x v="0"/>
    <x v="13"/>
    <x v="3"/>
    <x v="4"/>
    <x v="2"/>
  </r>
  <r>
    <s v="TX500591"/>
    <x v="8"/>
    <x v="2"/>
    <n v="40.9"/>
    <n v="122.69999999999999"/>
    <d v="2025-01-26T00:00:00"/>
    <d v="2025-01-27T00:00:00"/>
    <s v="M"/>
    <x v="0"/>
    <x v="0"/>
    <x v="0"/>
    <x v="1"/>
    <x v="3"/>
    <x v="4"/>
    <x v="1"/>
  </r>
  <r>
    <s v="TX500592"/>
    <x v="2"/>
    <x v="1"/>
    <n v="125.7"/>
    <n v="251.4"/>
    <d v="2025-01-26T00:00:00"/>
    <d v="2025-01-27T00:00:00"/>
    <s v="F"/>
    <x v="3"/>
    <x v="0"/>
    <x v="0"/>
    <x v="2"/>
    <x v="3"/>
    <x v="4"/>
    <x v="2"/>
  </r>
  <r>
    <s v="TX500593"/>
    <x v="3"/>
    <x v="1"/>
    <n v="30.9"/>
    <n v="61.8"/>
    <d v="2025-01-26T00:00:00"/>
    <d v="2025-01-26T00:00:00"/>
    <s v="F"/>
    <x v="2"/>
    <x v="2"/>
    <x v="0"/>
    <x v="22"/>
    <x v="7"/>
    <x v="4"/>
    <x v="2"/>
  </r>
  <r>
    <s v="TX500594"/>
    <x v="8"/>
    <x v="1"/>
    <n v="18.3"/>
    <n v="36.6"/>
    <d v="2025-01-26T00:00:00"/>
    <d v="2025-01-27T00:00:00"/>
    <s v="F"/>
    <x v="1"/>
    <x v="0"/>
    <x v="0"/>
    <x v="3"/>
    <x v="3"/>
    <x v="4"/>
    <x v="2"/>
  </r>
  <r>
    <s v="TX500595"/>
    <x v="4"/>
    <x v="1"/>
    <n v="56.5"/>
    <n v="113"/>
    <d v="2025-01-26T00:00:00"/>
    <d v="2025-01-30T00:00:00"/>
    <s v="M"/>
    <x v="2"/>
    <x v="2"/>
    <x v="0"/>
    <x v="3"/>
    <x v="5"/>
    <x v="4"/>
    <x v="1"/>
  </r>
  <r>
    <s v="TX500596"/>
    <x v="10"/>
    <x v="3"/>
    <n v="29.9"/>
    <n v="209.29999999999998"/>
    <d v="2025-01-26T00:00:00"/>
    <d v="2025-01-28T00:00:00"/>
    <s v="M"/>
    <x v="4"/>
    <x v="2"/>
    <x v="0"/>
    <x v="3"/>
    <x v="1"/>
    <x v="4"/>
    <x v="1"/>
  </r>
  <r>
    <s v="TX500597"/>
    <x v="5"/>
    <x v="1"/>
    <n v="50.4"/>
    <n v="100.8"/>
    <d v="2025-01-26T00:00:00"/>
    <d v="2025-01-27T00:00:00"/>
    <s v="F"/>
    <x v="2"/>
    <x v="0"/>
    <x v="0"/>
    <x v="3"/>
    <x v="3"/>
    <x v="4"/>
    <x v="2"/>
  </r>
  <r>
    <s v="TX500598"/>
    <x v="2"/>
    <x v="0"/>
    <n v="85.8"/>
    <n v="85.8"/>
    <d v="2025-01-26T00:00:00"/>
    <d v="2025-01-26T00:00:00"/>
    <s v="F"/>
    <x v="2"/>
    <x v="2"/>
    <x v="0"/>
    <x v="3"/>
    <x v="7"/>
    <x v="4"/>
    <x v="2"/>
  </r>
  <r>
    <s v="TX500599"/>
    <x v="4"/>
    <x v="27"/>
    <n v="66.599999999999994"/>
    <n v="1065.5999999999999"/>
    <d v="2025-01-26T00:00:00"/>
    <d v="2025-01-28T00:00:00"/>
    <s v="M"/>
    <x v="1"/>
    <x v="0"/>
    <x v="0"/>
    <x v="3"/>
    <x v="1"/>
    <x v="4"/>
    <x v="1"/>
  </r>
  <r>
    <s v="TX500600"/>
    <x v="6"/>
    <x v="12"/>
    <n v="70.3"/>
    <n v="281.2"/>
    <d v="2025-01-26T00:00:00"/>
    <d v="2025-01-27T00:00:00"/>
    <s v="F"/>
    <x v="0"/>
    <x v="1"/>
    <x v="0"/>
    <x v="3"/>
    <x v="3"/>
    <x v="4"/>
    <x v="2"/>
  </r>
  <r>
    <s v="TX500601"/>
    <x v="8"/>
    <x v="12"/>
    <n v="31"/>
    <n v="124"/>
    <d v="2025-01-26T00:00:00"/>
    <d v="2025-01-29T00:00:00"/>
    <s v="M"/>
    <x v="0"/>
    <x v="2"/>
    <x v="0"/>
    <x v="3"/>
    <x v="2"/>
    <x v="4"/>
    <x v="1"/>
  </r>
  <r>
    <s v="TX500602"/>
    <x v="7"/>
    <x v="13"/>
    <n v="81.599999999999994"/>
    <n v="489.59999999999997"/>
    <d v="2025-01-26T00:00:00"/>
    <d v="2025-01-27T00:00:00"/>
    <s v="F"/>
    <x v="1"/>
    <x v="1"/>
    <x v="0"/>
    <x v="37"/>
    <x v="3"/>
    <x v="4"/>
    <x v="2"/>
  </r>
  <r>
    <s v="TX500603"/>
    <x v="1"/>
    <x v="30"/>
    <n v="58.3"/>
    <n v="1457.5"/>
    <d v="2025-01-26T00:00:00"/>
    <d v="2025-01-27T00:00:00"/>
    <s v="F"/>
    <x v="0"/>
    <x v="0"/>
    <x v="0"/>
    <x v="16"/>
    <x v="3"/>
    <x v="4"/>
    <x v="2"/>
  </r>
  <r>
    <s v="TX500604"/>
    <x v="1"/>
    <x v="12"/>
    <n v="35.1"/>
    <n v="140.4"/>
    <d v="2025-01-26T00:00:00"/>
    <d v="2025-01-28T00:00:00"/>
    <s v="M"/>
    <x v="0"/>
    <x v="2"/>
    <x v="0"/>
    <x v="8"/>
    <x v="1"/>
    <x v="4"/>
    <x v="1"/>
  </r>
  <r>
    <s v="TX500605"/>
    <x v="2"/>
    <x v="0"/>
    <n v="80.2"/>
    <n v="80.2"/>
    <d v="2025-01-26T00:00:00"/>
    <d v="2025-01-27T00:00:00"/>
    <s v="M"/>
    <x v="3"/>
    <x v="2"/>
    <x v="0"/>
    <x v="8"/>
    <x v="3"/>
    <x v="4"/>
    <x v="1"/>
  </r>
  <r>
    <s v="TX500606"/>
    <x v="14"/>
    <x v="2"/>
    <n v="39.200000000000003"/>
    <n v="117.60000000000001"/>
    <d v="2025-01-26T00:00:00"/>
    <d v="2025-01-28T00:00:00"/>
    <s v="F"/>
    <x v="1"/>
    <x v="0"/>
    <x v="0"/>
    <x v="9"/>
    <x v="1"/>
    <x v="4"/>
    <x v="2"/>
  </r>
  <r>
    <s v="TX500607"/>
    <x v="0"/>
    <x v="1"/>
    <n v="15.4"/>
    <n v="30.8"/>
    <d v="2025-01-26T00:00:00"/>
    <d v="2025-01-26T00:00:00"/>
    <s v="F"/>
    <x v="3"/>
    <x v="0"/>
    <x v="0"/>
    <x v="48"/>
    <x v="7"/>
    <x v="4"/>
    <x v="2"/>
  </r>
  <r>
    <s v="TX500608"/>
    <x v="3"/>
    <x v="2"/>
    <n v="65.400000000000006"/>
    <n v="196.20000000000002"/>
    <d v="2025-01-26T00:00:00"/>
    <d v="2025-01-29T00:00:00"/>
    <s v="M"/>
    <x v="3"/>
    <x v="0"/>
    <x v="0"/>
    <x v="18"/>
    <x v="2"/>
    <x v="4"/>
    <x v="1"/>
  </r>
  <r>
    <s v="TX500609"/>
    <x v="1"/>
    <x v="8"/>
    <n v="63.2"/>
    <n v="505.6"/>
    <d v="2025-01-26T00:00:00"/>
    <d v="2025-01-28T00:00:00"/>
    <s v="F"/>
    <x v="1"/>
    <x v="0"/>
    <x v="0"/>
    <x v="19"/>
    <x v="1"/>
    <x v="4"/>
    <x v="2"/>
  </r>
  <r>
    <s v="TX500610"/>
    <x v="1"/>
    <x v="13"/>
    <n v="35.700000000000003"/>
    <n v="214.20000000000002"/>
    <d v="2025-01-26T00:00:00"/>
    <d v="2025-01-30T00:00:00"/>
    <s v="F"/>
    <x v="4"/>
    <x v="1"/>
    <x v="0"/>
    <x v="19"/>
    <x v="5"/>
    <x v="4"/>
    <x v="2"/>
  </r>
  <r>
    <s v="TX500611"/>
    <x v="0"/>
    <x v="28"/>
    <n v="26.2"/>
    <n v="524"/>
    <d v="2025-01-26T00:00:00"/>
    <d v="2025-01-27T00:00:00"/>
    <s v="F"/>
    <x v="3"/>
    <x v="0"/>
    <x v="0"/>
    <x v="21"/>
    <x v="3"/>
    <x v="4"/>
    <x v="2"/>
  </r>
  <r>
    <s v="TX500612"/>
    <x v="7"/>
    <x v="1"/>
    <n v="31"/>
    <n v="62"/>
    <d v="2025-01-26T00:00:00"/>
    <d v="2025-01-27T00:00:00"/>
    <s v="F"/>
    <x v="0"/>
    <x v="2"/>
    <x v="0"/>
    <x v="1"/>
    <x v="3"/>
    <x v="4"/>
    <x v="2"/>
  </r>
  <r>
    <s v="TX500613"/>
    <x v="8"/>
    <x v="12"/>
    <n v="37.700000000000003"/>
    <n v="150.80000000000001"/>
    <d v="2025-01-26T00:00:00"/>
    <d v="2025-01-27T00:00:00"/>
    <s v="F"/>
    <x v="1"/>
    <x v="0"/>
    <x v="0"/>
    <x v="22"/>
    <x v="3"/>
    <x v="4"/>
    <x v="2"/>
  </r>
  <r>
    <s v="TX500614"/>
    <x v="10"/>
    <x v="33"/>
    <n v="43.6"/>
    <n v="1482.4"/>
    <d v="2025-01-26T00:00:00"/>
    <d v="2025-01-28T00:00:00"/>
    <s v="F"/>
    <x v="4"/>
    <x v="1"/>
    <x v="0"/>
    <x v="3"/>
    <x v="1"/>
    <x v="4"/>
    <x v="2"/>
  </r>
  <r>
    <s v="TX500615"/>
    <x v="9"/>
    <x v="12"/>
    <n v="26.5"/>
    <n v="106"/>
    <d v="2025-01-26T00:00:00"/>
    <d v="2025-01-28T00:00:00"/>
    <s v="M"/>
    <x v="0"/>
    <x v="4"/>
    <x v="0"/>
    <x v="3"/>
    <x v="1"/>
    <x v="4"/>
    <x v="1"/>
  </r>
  <r>
    <s v="TX500616"/>
    <x v="0"/>
    <x v="1"/>
    <n v="34.6"/>
    <n v="69.2"/>
    <d v="2025-01-26T00:00:00"/>
    <d v="2025-01-27T00:00:00"/>
    <s v="M"/>
    <x v="4"/>
    <x v="1"/>
    <x v="0"/>
    <x v="3"/>
    <x v="3"/>
    <x v="4"/>
    <x v="1"/>
  </r>
  <r>
    <s v="TX500617"/>
    <x v="8"/>
    <x v="1"/>
    <n v="58.2"/>
    <n v="116.4"/>
    <d v="2025-01-26T00:00:00"/>
    <d v="2025-01-27T00:00:00"/>
    <s v="M"/>
    <x v="2"/>
    <x v="2"/>
    <x v="0"/>
    <x v="3"/>
    <x v="3"/>
    <x v="4"/>
    <x v="1"/>
  </r>
  <r>
    <s v="TX500618"/>
    <x v="7"/>
    <x v="0"/>
    <n v="30.2"/>
    <n v="30.2"/>
    <d v="2025-01-27T00:00:00"/>
    <d v="2025-01-28T00:00:00"/>
    <s v="F"/>
    <x v="2"/>
    <x v="1"/>
    <x v="0"/>
    <x v="3"/>
    <x v="3"/>
    <x v="4"/>
    <x v="2"/>
  </r>
  <r>
    <s v="TX500619"/>
    <x v="1"/>
    <x v="7"/>
    <n v="53.2"/>
    <n v="532"/>
    <d v="2025-01-27T00:00:00"/>
    <d v="2025-01-28T00:00:00"/>
    <s v="M"/>
    <x v="0"/>
    <x v="2"/>
    <x v="0"/>
    <x v="5"/>
    <x v="3"/>
    <x v="4"/>
    <x v="1"/>
  </r>
  <r>
    <s v="TX500620"/>
    <x v="12"/>
    <x v="13"/>
    <n v="51.1"/>
    <n v="306.60000000000002"/>
    <d v="2025-01-27T00:00:00"/>
    <d v="2025-01-27T00:00:00"/>
    <s v="M"/>
    <x v="1"/>
    <x v="2"/>
    <x v="0"/>
    <x v="5"/>
    <x v="7"/>
    <x v="4"/>
    <x v="1"/>
  </r>
  <r>
    <s v="TX500621"/>
    <x v="1"/>
    <x v="0"/>
    <n v="105.4"/>
    <n v="105.4"/>
    <d v="2025-01-27T00:00:00"/>
    <d v="2025-01-31T00:00:00"/>
    <s v="F"/>
    <x v="1"/>
    <x v="2"/>
    <x v="0"/>
    <x v="23"/>
    <x v="5"/>
    <x v="4"/>
    <x v="2"/>
  </r>
  <r>
    <s v="TX500622"/>
    <x v="7"/>
    <x v="0"/>
    <n v="57.7"/>
    <n v="57.7"/>
    <d v="2025-01-27T00:00:00"/>
    <d v="2025-01-27T00:00:00"/>
    <s v="M"/>
    <x v="0"/>
    <x v="4"/>
    <x v="0"/>
    <x v="8"/>
    <x v="7"/>
    <x v="4"/>
    <x v="1"/>
  </r>
  <r>
    <s v="TX500623"/>
    <x v="15"/>
    <x v="1"/>
    <n v="72.400000000000006"/>
    <n v="144.80000000000001"/>
    <d v="2025-01-27T00:00:00"/>
    <d v="2025-02-01T00:00:00"/>
    <s v="F"/>
    <x v="0"/>
    <x v="0"/>
    <x v="0"/>
    <x v="17"/>
    <x v="0"/>
    <x v="4"/>
    <x v="2"/>
  </r>
  <r>
    <s v="TX500624"/>
    <x v="6"/>
    <x v="1"/>
    <n v="62.5"/>
    <n v="125"/>
    <d v="2025-01-27T00:00:00"/>
    <d v="2025-01-28T00:00:00"/>
    <s v=""/>
    <x v="0"/>
    <x v="2"/>
    <x v="0"/>
    <x v="11"/>
    <x v="3"/>
    <x v="4"/>
    <x v="0"/>
  </r>
  <r>
    <s v="TX500625"/>
    <x v="0"/>
    <x v="32"/>
    <n v="11.6"/>
    <n v="255.2"/>
    <d v="2025-01-27T00:00:00"/>
    <d v="2025-01-29T00:00:00"/>
    <s v="F"/>
    <x v="3"/>
    <x v="2"/>
    <x v="0"/>
    <x v="18"/>
    <x v="1"/>
    <x v="4"/>
    <x v="2"/>
  </r>
  <r>
    <s v="TX500626"/>
    <x v="10"/>
    <x v="7"/>
    <n v="39.6"/>
    <n v="396"/>
    <d v="2025-01-27T00:00:00"/>
    <d v="2025-01-29T00:00:00"/>
    <s v="F"/>
    <x v="2"/>
    <x v="2"/>
    <x v="0"/>
    <x v="18"/>
    <x v="1"/>
    <x v="4"/>
    <x v="2"/>
  </r>
  <r>
    <s v="TX500627"/>
    <x v="8"/>
    <x v="1"/>
    <n v="40.1"/>
    <n v="80.2"/>
    <d v="2025-01-27T00:00:00"/>
    <d v="2025-01-28T00:00:00"/>
    <s v="F"/>
    <x v="2"/>
    <x v="0"/>
    <x v="0"/>
    <x v="18"/>
    <x v="3"/>
    <x v="4"/>
    <x v="2"/>
  </r>
  <r>
    <s v="TX500628"/>
    <x v="8"/>
    <x v="2"/>
    <n v="18.600000000000001"/>
    <n v="55.800000000000004"/>
    <d v="2025-01-27T00:00:00"/>
    <d v="2025-01-28T00:00:00"/>
    <s v="F"/>
    <x v="2"/>
    <x v="0"/>
    <x v="0"/>
    <x v="21"/>
    <x v="3"/>
    <x v="4"/>
    <x v="2"/>
  </r>
  <r>
    <s v="TX500629"/>
    <x v="4"/>
    <x v="0"/>
    <n v="58.8"/>
    <n v="58.8"/>
    <d v="2025-01-27T00:00:00"/>
    <d v="2025-01-29T00:00:00"/>
    <s v="F"/>
    <x v="0"/>
    <x v="1"/>
    <x v="0"/>
    <x v="21"/>
    <x v="1"/>
    <x v="4"/>
    <x v="2"/>
  </r>
  <r>
    <s v="TX500630"/>
    <x v="8"/>
    <x v="1"/>
    <n v="22.1"/>
    <n v="44.2"/>
    <d v="2025-01-27T00:00:00"/>
    <d v="2025-01-30T00:00:00"/>
    <s v="M"/>
    <x v="1"/>
    <x v="2"/>
    <x v="0"/>
    <x v="21"/>
    <x v="2"/>
    <x v="4"/>
    <x v="1"/>
  </r>
  <r>
    <s v="TX500631"/>
    <x v="2"/>
    <x v="0"/>
    <n v="114.9"/>
    <n v="114.9"/>
    <d v="2025-01-28T00:00:00"/>
    <d v="2025-01-29T00:00:00"/>
    <s v="F"/>
    <x v="1"/>
    <x v="1"/>
    <x v="0"/>
    <x v="22"/>
    <x v="3"/>
    <x v="4"/>
    <x v="2"/>
  </r>
  <r>
    <s v="TX500632"/>
    <x v="9"/>
    <x v="9"/>
    <n v="75.8"/>
    <n v="379"/>
    <d v="2025-01-28T00:00:00"/>
    <d v="2025-01-29T00:00:00"/>
    <s v="M"/>
    <x v="0"/>
    <x v="2"/>
    <x v="0"/>
    <x v="3"/>
    <x v="3"/>
    <x v="4"/>
    <x v="1"/>
  </r>
  <r>
    <s v="TX500633"/>
    <x v="14"/>
    <x v="9"/>
    <n v="20.6"/>
    <n v="103"/>
    <d v="2025-01-28T00:00:00"/>
    <d v="2025-01-29T00:00:00"/>
    <s v="M"/>
    <x v="2"/>
    <x v="2"/>
    <x v="0"/>
    <x v="3"/>
    <x v="3"/>
    <x v="4"/>
    <x v="1"/>
  </r>
  <r>
    <s v="TX500634"/>
    <x v="17"/>
    <x v="2"/>
    <n v="67.900000000000006"/>
    <n v="203.70000000000002"/>
    <d v="2025-01-28T00:00:00"/>
    <d v="2025-01-29T00:00:00"/>
    <s v="F"/>
    <x v="1"/>
    <x v="1"/>
    <x v="0"/>
    <x v="3"/>
    <x v="3"/>
    <x v="4"/>
    <x v="2"/>
  </r>
  <r>
    <s v="TX500635"/>
    <x v="0"/>
    <x v="9"/>
    <n v="27"/>
    <n v="135"/>
    <d v="2025-01-28T00:00:00"/>
    <d v="2025-02-04T00:00:00"/>
    <s v="F"/>
    <x v="0"/>
    <x v="2"/>
    <x v="0"/>
    <x v="3"/>
    <x v="6"/>
    <x v="4"/>
    <x v="2"/>
  </r>
  <r>
    <s v="TX500636"/>
    <x v="13"/>
    <x v="0"/>
    <n v="50.6"/>
    <n v="50.6"/>
    <d v="2025-01-28T00:00:00"/>
    <d v="2025-01-28T00:00:00"/>
    <s v="M"/>
    <x v="0"/>
    <x v="1"/>
    <x v="0"/>
    <x v="3"/>
    <x v="7"/>
    <x v="4"/>
    <x v="1"/>
  </r>
  <r>
    <s v="TX500637"/>
    <x v="4"/>
    <x v="9"/>
    <n v="22.1"/>
    <n v="110.5"/>
    <d v="2025-01-28T00:00:00"/>
    <d v="2025-02-02T00:00:00"/>
    <s v="M"/>
    <x v="0"/>
    <x v="0"/>
    <x v="0"/>
    <x v="3"/>
    <x v="0"/>
    <x v="4"/>
    <x v="1"/>
  </r>
  <r>
    <s v="TX500638"/>
    <x v="8"/>
    <x v="2"/>
    <n v="42.9"/>
    <n v="128.69999999999999"/>
    <d v="2025-01-28T00:00:00"/>
    <d v="2025-01-30T00:00:00"/>
    <s v="F"/>
    <x v="0"/>
    <x v="0"/>
    <x v="0"/>
    <x v="3"/>
    <x v="1"/>
    <x v="4"/>
    <x v="2"/>
  </r>
  <r>
    <s v="TX500639"/>
    <x v="1"/>
    <x v="5"/>
    <n v="62.4"/>
    <n v="686.4"/>
    <d v="2025-01-28T00:00:00"/>
    <d v="2025-01-30T00:00:00"/>
    <s v="F"/>
    <x v="2"/>
    <x v="0"/>
    <x v="0"/>
    <x v="3"/>
    <x v="1"/>
    <x v="4"/>
    <x v="2"/>
  </r>
  <r>
    <s v="TX500640"/>
    <x v="13"/>
    <x v="11"/>
    <n v="36.4"/>
    <n v="327.59999999999997"/>
    <d v="2025-01-28T00:00:00"/>
    <d v="2025-01-30T00:00:00"/>
    <s v="F"/>
    <x v="0"/>
    <x v="2"/>
    <x v="0"/>
    <x v="3"/>
    <x v="1"/>
    <x v="4"/>
    <x v="2"/>
  </r>
  <r>
    <s v="TX500641"/>
    <x v="0"/>
    <x v="1"/>
    <n v="22.5"/>
    <n v="45"/>
    <d v="2025-01-28T00:00:00"/>
    <d v="2025-01-31T00:00:00"/>
    <s v="M"/>
    <x v="0"/>
    <x v="0"/>
    <x v="0"/>
    <x v="3"/>
    <x v="2"/>
    <x v="4"/>
    <x v="1"/>
  </r>
  <r>
    <s v="TX500642"/>
    <x v="6"/>
    <x v="12"/>
    <n v="70.8"/>
    <n v="283.2"/>
    <d v="2025-01-28T00:00:00"/>
    <d v="2025-01-30T00:00:00"/>
    <s v="F"/>
    <x v="4"/>
    <x v="0"/>
    <x v="0"/>
    <x v="3"/>
    <x v="1"/>
    <x v="4"/>
    <x v="2"/>
  </r>
  <r>
    <s v="TX500643"/>
    <x v="6"/>
    <x v="9"/>
    <n v="56.6"/>
    <n v="283"/>
    <d v="2025-01-28T00:00:00"/>
    <d v="2025-01-30T00:00:00"/>
    <s v="M"/>
    <x v="0"/>
    <x v="1"/>
    <x v="0"/>
    <x v="4"/>
    <x v="1"/>
    <x v="4"/>
    <x v="1"/>
  </r>
  <r>
    <s v="TX500644"/>
    <x v="6"/>
    <x v="1"/>
    <n v="47.9"/>
    <n v="95.8"/>
    <d v="2025-01-28T00:00:00"/>
    <d v="2025-01-29T00:00:00"/>
    <s v="F"/>
    <x v="0"/>
    <x v="0"/>
    <x v="0"/>
    <x v="6"/>
    <x v="3"/>
    <x v="4"/>
    <x v="2"/>
  </r>
  <r>
    <s v="TX500645"/>
    <x v="6"/>
    <x v="8"/>
    <n v="78.400000000000006"/>
    <n v="627.20000000000005"/>
    <d v="2025-01-28T00:00:00"/>
    <d v="2025-01-30T00:00:00"/>
    <s v="F"/>
    <x v="1"/>
    <x v="0"/>
    <x v="0"/>
    <x v="6"/>
    <x v="1"/>
    <x v="4"/>
    <x v="2"/>
  </r>
  <r>
    <s v="TX500646"/>
    <x v="2"/>
    <x v="21"/>
    <n v="122.1"/>
    <n v="1709.3999999999999"/>
    <d v="2025-01-28T00:00:00"/>
    <d v="2025-02-02T00:00:00"/>
    <s v="F"/>
    <x v="0"/>
    <x v="2"/>
    <x v="0"/>
    <x v="6"/>
    <x v="0"/>
    <x v="4"/>
    <x v="2"/>
  </r>
  <r>
    <s v="TX500647"/>
    <x v="2"/>
    <x v="1"/>
    <n v="83.7"/>
    <n v="167.4"/>
    <d v="2025-01-29T00:00:00"/>
    <d v="2025-01-29T00:00:00"/>
    <s v=""/>
    <x v="1"/>
    <x v="2"/>
    <x v="0"/>
    <x v="7"/>
    <x v="7"/>
    <x v="4"/>
    <x v="0"/>
  </r>
  <r>
    <s v="TX500648"/>
    <x v="3"/>
    <x v="12"/>
    <n v="97.9"/>
    <n v="391.6"/>
    <d v="2025-01-29T00:00:00"/>
    <d v="2025-02-02T00:00:00"/>
    <s v="F"/>
    <x v="3"/>
    <x v="2"/>
    <x v="0"/>
    <x v="7"/>
    <x v="5"/>
    <x v="4"/>
    <x v="2"/>
  </r>
  <r>
    <s v="TX500649"/>
    <x v="14"/>
    <x v="0"/>
    <n v="15"/>
    <n v="15"/>
    <d v="2025-01-29T00:00:00"/>
    <d v="2025-02-03T00:00:00"/>
    <s v="F"/>
    <x v="3"/>
    <x v="0"/>
    <x v="0"/>
    <x v="8"/>
    <x v="0"/>
    <x v="4"/>
    <x v="2"/>
  </r>
  <r>
    <s v="TX500650"/>
    <x v="12"/>
    <x v="2"/>
    <n v="94.6"/>
    <n v="283.79999999999995"/>
    <d v="2025-01-29T00:00:00"/>
    <d v="2025-01-30T00:00:00"/>
    <s v="M"/>
    <x v="2"/>
    <x v="1"/>
    <x v="0"/>
    <x v="8"/>
    <x v="3"/>
    <x v="4"/>
    <x v="1"/>
  </r>
  <r>
    <s v="TX500651"/>
    <x v="0"/>
    <x v="13"/>
    <n v="19.7"/>
    <n v="118.19999999999999"/>
    <d v="2025-01-29T00:00:00"/>
    <d v="2025-02-09T00:00:00"/>
    <s v="F"/>
    <x v="0"/>
    <x v="2"/>
    <x v="0"/>
    <x v="8"/>
    <x v="11"/>
    <x v="4"/>
    <x v="2"/>
  </r>
  <r>
    <s v="TX500652"/>
    <x v="7"/>
    <x v="0"/>
    <n v="46.7"/>
    <n v="46.7"/>
    <d v="2025-01-29T00:00:00"/>
    <d v="2025-02-01T00:00:00"/>
    <s v="F"/>
    <x v="2"/>
    <x v="0"/>
    <x v="0"/>
    <x v="17"/>
    <x v="2"/>
    <x v="4"/>
    <x v="2"/>
  </r>
  <r>
    <s v="TX500653"/>
    <x v="1"/>
    <x v="12"/>
    <n v="43"/>
    <n v="172"/>
    <d v="2025-01-29T00:00:00"/>
    <d v="2025-01-30T00:00:00"/>
    <s v="M"/>
    <x v="2"/>
    <x v="2"/>
    <x v="0"/>
    <x v="17"/>
    <x v="3"/>
    <x v="4"/>
    <x v="1"/>
  </r>
  <r>
    <s v="TX500654"/>
    <x v="6"/>
    <x v="2"/>
    <n v="68.2"/>
    <n v="204.60000000000002"/>
    <d v="2025-01-29T00:00:00"/>
    <d v="2025-02-04T00:00:00"/>
    <s v="F"/>
    <x v="0"/>
    <x v="0"/>
    <x v="0"/>
    <x v="9"/>
    <x v="4"/>
    <x v="4"/>
    <x v="2"/>
  </r>
  <r>
    <s v="TX500655"/>
    <x v="10"/>
    <x v="7"/>
    <n v="24.3"/>
    <n v="243"/>
    <d v="2025-01-29T00:00:00"/>
    <d v="2025-01-30T00:00:00"/>
    <s v="M"/>
    <x v="0"/>
    <x v="2"/>
    <x v="0"/>
    <x v="10"/>
    <x v="3"/>
    <x v="4"/>
    <x v="1"/>
  </r>
  <r>
    <s v="TX500656"/>
    <x v="7"/>
    <x v="1"/>
    <n v="86.8"/>
    <n v="173.6"/>
    <d v="2025-01-29T00:00:00"/>
    <d v="2025-02-02T00:00:00"/>
    <s v="F"/>
    <x v="4"/>
    <x v="2"/>
    <x v="0"/>
    <x v="11"/>
    <x v="5"/>
    <x v="4"/>
    <x v="2"/>
  </r>
  <r>
    <s v="TX500657"/>
    <x v="0"/>
    <x v="1"/>
    <n v="15.8"/>
    <n v="31.6"/>
    <d v="2025-01-29T00:00:00"/>
    <d v="2025-01-31T00:00:00"/>
    <s v="M"/>
    <x v="1"/>
    <x v="0"/>
    <x v="0"/>
    <x v="11"/>
    <x v="1"/>
    <x v="4"/>
    <x v="1"/>
  </r>
  <r>
    <s v="TX500658"/>
    <x v="2"/>
    <x v="12"/>
    <n v="61.6"/>
    <n v="246.4"/>
    <d v="2025-01-29T00:00:00"/>
    <d v="2025-01-30T00:00:00"/>
    <s v="M"/>
    <x v="2"/>
    <x v="0"/>
    <x v="0"/>
    <x v="11"/>
    <x v="3"/>
    <x v="4"/>
    <x v="1"/>
  </r>
  <r>
    <s v="TX500659"/>
    <x v="6"/>
    <x v="2"/>
    <n v="48.7"/>
    <n v="146.10000000000002"/>
    <d v="2025-01-29T00:00:00"/>
    <d v="2025-02-04T00:00:00"/>
    <s v="F"/>
    <x v="1"/>
    <x v="2"/>
    <x v="0"/>
    <x v="45"/>
    <x v="4"/>
    <x v="4"/>
    <x v="2"/>
  </r>
  <r>
    <s v="TX500660"/>
    <x v="8"/>
    <x v="12"/>
    <n v="24.3"/>
    <n v="97.2"/>
    <d v="2025-01-29T00:00:00"/>
    <d v="2025-01-31T00:00:00"/>
    <s v="F"/>
    <x v="1"/>
    <x v="2"/>
    <x v="0"/>
    <x v="21"/>
    <x v="1"/>
    <x v="4"/>
    <x v="2"/>
  </r>
  <r>
    <s v="TX500661"/>
    <x v="2"/>
    <x v="1"/>
    <n v="130.69999999999999"/>
    <n v="261.39999999999998"/>
    <d v="2025-01-29T00:00:00"/>
    <d v="2025-01-30T00:00:00"/>
    <s v="F"/>
    <x v="2"/>
    <x v="0"/>
    <x v="0"/>
    <x v="44"/>
    <x v="3"/>
    <x v="4"/>
    <x v="2"/>
  </r>
  <r>
    <s v="TX500662"/>
    <x v="10"/>
    <x v="0"/>
    <n v="26"/>
    <n v="26"/>
    <d v="2025-01-29T00:00:00"/>
    <d v="2025-01-31T00:00:00"/>
    <s v="M"/>
    <x v="0"/>
    <x v="0"/>
    <x v="0"/>
    <x v="3"/>
    <x v="1"/>
    <x v="4"/>
    <x v="1"/>
  </r>
  <r>
    <s v="TX500663"/>
    <x v="2"/>
    <x v="9"/>
    <n v="94.4"/>
    <n v="472"/>
    <d v="2025-01-29T00:00:00"/>
    <d v="2025-01-30T00:00:00"/>
    <s v="F"/>
    <x v="0"/>
    <x v="0"/>
    <x v="0"/>
    <x v="3"/>
    <x v="3"/>
    <x v="4"/>
    <x v="2"/>
  </r>
  <r>
    <s v="TX500664"/>
    <x v="0"/>
    <x v="13"/>
    <n v="23.7"/>
    <n v="142.19999999999999"/>
    <d v="2025-01-29T00:00:00"/>
    <d v="2025-01-31T00:00:00"/>
    <s v="M"/>
    <x v="2"/>
    <x v="2"/>
    <x v="0"/>
    <x v="3"/>
    <x v="1"/>
    <x v="4"/>
    <x v="1"/>
  </r>
  <r>
    <s v="TX500665"/>
    <x v="9"/>
    <x v="4"/>
    <n v="37.4"/>
    <n v="448.79999999999995"/>
    <d v="2025-01-29T00:00:00"/>
    <d v="2025-01-31T00:00:00"/>
    <s v="M"/>
    <x v="2"/>
    <x v="0"/>
    <x v="0"/>
    <x v="3"/>
    <x v="1"/>
    <x v="4"/>
    <x v="1"/>
  </r>
  <r>
    <s v="TX500666"/>
    <x v="1"/>
    <x v="34"/>
    <n v="55.2"/>
    <n v="1987.2"/>
    <d v="2025-01-29T00:00:00"/>
    <d v="2025-01-29T00:00:00"/>
    <s v="F"/>
    <x v="3"/>
    <x v="1"/>
    <x v="0"/>
    <x v="3"/>
    <x v="7"/>
    <x v="4"/>
    <x v="2"/>
  </r>
  <r>
    <s v="TX500667"/>
    <x v="2"/>
    <x v="11"/>
    <n v="57.1"/>
    <n v="513.9"/>
    <d v="2025-01-29T00:00:00"/>
    <d v="2025-01-31T00:00:00"/>
    <s v="M"/>
    <x v="0"/>
    <x v="2"/>
    <x v="0"/>
    <x v="3"/>
    <x v="1"/>
    <x v="4"/>
    <x v="1"/>
  </r>
  <r>
    <s v="TX500668"/>
    <x v="12"/>
    <x v="0"/>
    <n v="55.3"/>
    <n v="55.3"/>
    <d v="2025-01-29T00:00:00"/>
    <d v="2025-01-30T00:00:00"/>
    <s v="F"/>
    <x v="2"/>
    <x v="2"/>
    <x v="0"/>
    <x v="3"/>
    <x v="3"/>
    <x v="4"/>
    <x v="2"/>
  </r>
  <r>
    <s v="TX500669"/>
    <x v="15"/>
    <x v="3"/>
    <n v="23.9"/>
    <n v="167.29999999999998"/>
    <d v="2025-01-29T00:00:00"/>
    <d v="2025-01-30T00:00:00"/>
    <s v="F"/>
    <x v="4"/>
    <x v="1"/>
    <x v="0"/>
    <x v="3"/>
    <x v="3"/>
    <x v="4"/>
    <x v="2"/>
  </r>
  <r>
    <s v="TX500670"/>
    <x v="0"/>
    <x v="0"/>
    <n v="34.1"/>
    <n v="34.1"/>
    <d v="2025-01-29T00:00:00"/>
    <d v="2025-02-05T00:00:00"/>
    <s v="F"/>
    <x v="2"/>
    <x v="0"/>
    <x v="0"/>
    <x v="3"/>
    <x v="6"/>
    <x v="4"/>
    <x v="2"/>
  </r>
  <r>
    <s v="TX500671"/>
    <x v="12"/>
    <x v="12"/>
    <n v="38.5"/>
    <n v="154"/>
    <d v="2025-01-29T00:00:00"/>
    <d v="2025-02-09T00:00:00"/>
    <s v="F"/>
    <x v="0"/>
    <x v="0"/>
    <x v="0"/>
    <x v="3"/>
    <x v="11"/>
    <x v="4"/>
    <x v="2"/>
  </r>
  <r>
    <s v="TX500672"/>
    <x v="7"/>
    <x v="1"/>
    <n v="105"/>
    <n v="210"/>
    <d v="2025-01-29T00:00:00"/>
    <d v="2025-02-04T00:00:00"/>
    <s v="F"/>
    <x v="0"/>
    <x v="2"/>
    <x v="0"/>
    <x v="3"/>
    <x v="4"/>
    <x v="4"/>
    <x v="2"/>
  </r>
  <r>
    <s v="TX500673"/>
    <x v="8"/>
    <x v="9"/>
    <n v="45.2"/>
    <n v="226"/>
    <d v="2025-01-29T00:00:00"/>
    <d v="2025-01-31T00:00:00"/>
    <s v="F"/>
    <x v="0"/>
    <x v="2"/>
    <x v="0"/>
    <x v="3"/>
    <x v="1"/>
    <x v="4"/>
    <x v="2"/>
  </r>
  <r>
    <s v="TX500674"/>
    <x v="17"/>
    <x v="2"/>
    <n v="24.8"/>
    <n v="74.400000000000006"/>
    <d v="2025-01-29T00:00:00"/>
    <d v="2025-01-29T00:00:00"/>
    <s v=""/>
    <x v="0"/>
    <x v="1"/>
    <x v="0"/>
    <x v="3"/>
    <x v="7"/>
    <x v="4"/>
    <x v="0"/>
  </r>
  <r>
    <s v="TX500675"/>
    <x v="11"/>
    <x v="12"/>
    <n v="43.8"/>
    <n v="175.2"/>
    <d v="2025-01-29T00:00:00"/>
    <d v="2025-02-05T00:00:00"/>
    <s v="F"/>
    <x v="1"/>
    <x v="2"/>
    <x v="0"/>
    <x v="6"/>
    <x v="6"/>
    <x v="4"/>
    <x v="2"/>
  </r>
  <r>
    <s v="TX500676"/>
    <x v="1"/>
    <x v="0"/>
    <n v="75"/>
    <n v="75"/>
    <d v="2025-01-29T00:00:00"/>
    <d v="2025-01-31T00:00:00"/>
    <s v="F"/>
    <x v="4"/>
    <x v="1"/>
    <x v="0"/>
    <x v="6"/>
    <x v="1"/>
    <x v="4"/>
    <x v="2"/>
  </r>
  <r>
    <s v="TX500677"/>
    <x v="2"/>
    <x v="0"/>
    <n v="169.9"/>
    <n v="169.9"/>
    <d v="2025-01-29T00:00:00"/>
    <d v="2025-01-30T00:00:00"/>
    <s v="M"/>
    <x v="2"/>
    <x v="0"/>
    <x v="0"/>
    <x v="6"/>
    <x v="3"/>
    <x v="4"/>
    <x v="1"/>
  </r>
  <r>
    <s v="TX500678"/>
    <x v="9"/>
    <x v="1"/>
    <n v="72.2"/>
    <n v="144.4"/>
    <d v="2025-01-29T00:00:00"/>
    <d v="2025-01-31T00:00:00"/>
    <s v="F"/>
    <x v="4"/>
    <x v="1"/>
    <x v="0"/>
    <x v="6"/>
    <x v="1"/>
    <x v="4"/>
    <x v="2"/>
  </r>
  <r>
    <s v="TX500679"/>
    <x v="0"/>
    <x v="0"/>
    <n v="20"/>
    <n v="20"/>
    <d v="2025-01-30T00:00:00"/>
    <d v="2025-02-02T00:00:00"/>
    <s v="F"/>
    <x v="2"/>
    <x v="1"/>
    <x v="0"/>
    <x v="7"/>
    <x v="2"/>
    <x v="4"/>
    <x v="2"/>
  </r>
  <r>
    <s v="TX500680"/>
    <x v="9"/>
    <x v="1"/>
    <n v="40.799999999999997"/>
    <n v="81.599999999999994"/>
    <d v="2025-01-30T00:00:00"/>
    <d v="2025-02-01T00:00:00"/>
    <s v="F"/>
    <x v="3"/>
    <x v="2"/>
    <x v="0"/>
    <x v="8"/>
    <x v="1"/>
    <x v="4"/>
    <x v="2"/>
  </r>
  <r>
    <s v="TX500681"/>
    <x v="10"/>
    <x v="12"/>
    <n v="58"/>
    <n v="232"/>
    <d v="2025-01-30T00:00:00"/>
    <d v="2025-02-03T00:00:00"/>
    <s v="F"/>
    <x v="0"/>
    <x v="0"/>
    <x v="0"/>
    <x v="8"/>
    <x v="5"/>
    <x v="4"/>
    <x v="2"/>
  </r>
  <r>
    <s v="TX500682"/>
    <x v="12"/>
    <x v="1"/>
    <n v="43.1"/>
    <n v="86.2"/>
    <d v="2025-01-30T00:00:00"/>
    <d v="2025-01-31T00:00:00"/>
    <s v="F"/>
    <x v="1"/>
    <x v="2"/>
    <x v="0"/>
    <x v="8"/>
    <x v="3"/>
    <x v="4"/>
    <x v="2"/>
  </r>
  <r>
    <s v="TX500683"/>
    <x v="6"/>
    <x v="11"/>
    <n v="74.7"/>
    <n v="672.30000000000007"/>
    <d v="2025-01-30T00:00:00"/>
    <d v="2025-02-01T00:00:00"/>
    <s v="M"/>
    <x v="0"/>
    <x v="2"/>
    <x v="0"/>
    <x v="8"/>
    <x v="1"/>
    <x v="4"/>
    <x v="1"/>
  </r>
  <r>
    <s v="TX500684"/>
    <x v="6"/>
    <x v="0"/>
    <n v="128.19999999999999"/>
    <n v="128.19999999999999"/>
    <d v="2025-01-30T00:00:00"/>
    <d v="2025-01-30T00:00:00"/>
    <s v="M"/>
    <x v="1"/>
    <x v="0"/>
    <x v="0"/>
    <x v="8"/>
    <x v="7"/>
    <x v="4"/>
    <x v="1"/>
  </r>
  <r>
    <s v="TX500685"/>
    <x v="14"/>
    <x v="12"/>
    <n v="26.7"/>
    <n v="106.8"/>
    <d v="2025-01-30T00:00:00"/>
    <d v="2025-01-31T00:00:00"/>
    <s v="M"/>
    <x v="1"/>
    <x v="0"/>
    <x v="0"/>
    <x v="8"/>
    <x v="3"/>
    <x v="4"/>
    <x v="1"/>
  </r>
  <r>
    <s v="TX500686"/>
    <x v="17"/>
    <x v="13"/>
    <n v="31.5"/>
    <n v="189"/>
    <d v="2025-01-30T00:00:00"/>
    <d v="2025-01-31T00:00:00"/>
    <s v="F"/>
    <x v="2"/>
    <x v="0"/>
    <x v="0"/>
    <x v="17"/>
    <x v="3"/>
    <x v="4"/>
    <x v="2"/>
  </r>
  <r>
    <s v="TX500687"/>
    <x v="3"/>
    <x v="3"/>
    <n v="64.7"/>
    <n v="452.90000000000003"/>
    <d v="2025-01-30T00:00:00"/>
    <d v="2025-01-31T00:00:00"/>
    <s v="F"/>
    <x v="0"/>
    <x v="2"/>
    <x v="0"/>
    <x v="9"/>
    <x v="3"/>
    <x v="4"/>
    <x v="2"/>
  </r>
  <r>
    <s v="TX500688"/>
    <x v="5"/>
    <x v="1"/>
    <n v="55.6"/>
    <n v="111.2"/>
    <d v="2025-01-30T00:00:00"/>
    <d v="2025-02-02T00:00:00"/>
    <s v="F"/>
    <x v="3"/>
    <x v="0"/>
    <x v="0"/>
    <x v="11"/>
    <x v="2"/>
    <x v="4"/>
    <x v="2"/>
  </r>
  <r>
    <s v="TX500689"/>
    <x v="3"/>
    <x v="1"/>
    <n v="36.200000000000003"/>
    <n v="72.400000000000006"/>
    <d v="2025-01-30T00:00:00"/>
    <d v="2025-01-31T00:00:00"/>
    <s v="F"/>
    <x v="3"/>
    <x v="0"/>
    <x v="0"/>
    <x v="11"/>
    <x v="3"/>
    <x v="4"/>
    <x v="2"/>
  </r>
  <r>
    <s v="TX500690"/>
    <x v="0"/>
    <x v="0"/>
    <n v="26.6"/>
    <n v="26.6"/>
    <d v="2025-01-30T00:00:00"/>
    <d v="2025-01-31T00:00:00"/>
    <s v=""/>
    <x v="1"/>
    <x v="1"/>
    <x v="0"/>
    <x v="19"/>
    <x v="3"/>
    <x v="4"/>
    <x v="0"/>
  </r>
  <r>
    <s v="TX500691"/>
    <x v="10"/>
    <x v="12"/>
    <n v="31.5"/>
    <n v="126"/>
    <d v="2025-01-30T00:00:00"/>
    <d v="2025-02-01T00:00:00"/>
    <s v="M"/>
    <x v="0"/>
    <x v="0"/>
    <x v="0"/>
    <x v="31"/>
    <x v="1"/>
    <x v="4"/>
    <x v="1"/>
  </r>
  <r>
    <s v="TX500692"/>
    <x v="10"/>
    <x v="0"/>
    <n v="27"/>
    <n v="27"/>
    <d v="2025-01-30T00:00:00"/>
    <d v="2025-02-01T00:00:00"/>
    <s v="F"/>
    <x v="1"/>
    <x v="2"/>
    <x v="0"/>
    <x v="13"/>
    <x v="1"/>
    <x v="4"/>
    <x v="2"/>
  </r>
  <r>
    <s v="TX500693"/>
    <x v="4"/>
    <x v="0"/>
    <n v="32"/>
    <n v="32"/>
    <d v="2025-01-30T00:00:00"/>
    <d v="2025-02-02T00:00:00"/>
    <s v="M"/>
    <x v="3"/>
    <x v="0"/>
    <x v="0"/>
    <x v="21"/>
    <x v="2"/>
    <x v="4"/>
    <x v="1"/>
  </r>
  <r>
    <s v="TX500694"/>
    <x v="1"/>
    <x v="2"/>
    <n v="48.1"/>
    <n v="144.30000000000001"/>
    <d v="2025-01-30T00:00:00"/>
    <d v="2025-02-01T00:00:00"/>
    <s v="M"/>
    <x v="2"/>
    <x v="1"/>
    <x v="0"/>
    <x v="1"/>
    <x v="1"/>
    <x v="4"/>
    <x v="1"/>
  </r>
  <r>
    <s v="TX500695"/>
    <x v="9"/>
    <x v="1"/>
    <n v="43.4"/>
    <n v="86.8"/>
    <d v="2025-01-30T00:00:00"/>
    <d v="2025-01-31T00:00:00"/>
    <s v="M"/>
    <x v="1"/>
    <x v="1"/>
    <x v="0"/>
    <x v="22"/>
    <x v="3"/>
    <x v="4"/>
    <x v="1"/>
  </r>
  <r>
    <s v="TX500696"/>
    <x v="6"/>
    <x v="1"/>
    <n v="42.6"/>
    <n v="85.2"/>
    <d v="2025-01-30T00:00:00"/>
    <d v="2025-02-02T00:00:00"/>
    <s v="F"/>
    <x v="3"/>
    <x v="0"/>
    <x v="0"/>
    <x v="22"/>
    <x v="2"/>
    <x v="4"/>
    <x v="2"/>
  </r>
  <r>
    <s v="TX500697"/>
    <x v="8"/>
    <x v="1"/>
    <n v="15.9"/>
    <n v="31.8"/>
    <d v="2025-01-30T00:00:00"/>
    <d v="2025-01-31T00:00:00"/>
    <s v="F"/>
    <x v="0"/>
    <x v="0"/>
    <x v="0"/>
    <x v="34"/>
    <x v="3"/>
    <x v="4"/>
    <x v="2"/>
  </r>
  <r>
    <s v="TX500698"/>
    <x v="9"/>
    <x v="1"/>
    <n v="63.2"/>
    <n v="126.4"/>
    <d v="2025-01-30T00:00:00"/>
    <d v="2025-01-31T00:00:00"/>
    <s v="M"/>
    <x v="1"/>
    <x v="0"/>
    <x v="0"/>
    <x v="3"/>
    <x v="3"/>
    <x v="4"/>
    <x v="1"/>
  </r>
  <r>
    <s v="TX500699"/>
    <x v="7"/>
    <x v="12"/>
    <n v="64.8"/>
    <n v="259.2"/>
    <d v="2025-01-30T00:00:00"/>
    <d v="2025-02-01T00:00:00"/>
    <s v=""/>
    <x v="4"/>
    <x v="1"/>
    <x v="0"/>
    <x v="3"/>
    <x v="1"/>
    <x v="4"/>
    <x v="0"/>
  </r>
  <r>
    <s v="TX500700"/>
    <x v="7"/>
    <x v="2"/>
    <n v="79.8"/>
    <n v="239.39999999999998"/>
    <d v="2025-01-30T00:00:00"/>
    <d v="2025-01-31T00:00:00"/>
    <s v="M"/>
    <x v="0"/>
    <x v="0"/>
    <x v="0"/>
    <x v="3"/>
    <x v="3"/>
    <x v="4"/>
    <x v="1"/>
  </r>
  <r>
    <s v="TX500701"/>
    <x v="9"/>
    <x v="0"/>
    <n v="54.4"/>
    <n v="54.4"/>
    <d v="2025-01-30T00:00:00"/>
    <d v="2025-02-01T00:00:00"/>
    <s v="F"/>
    <x v="4"/>
    <x v="2"/>
    <x v="0"/>
    <x v="3"/>
    <x v="1"/>
    <x v="4"/>
    <x v="2"/>
  </r>
  <r>
    <s v="TX500702"/>
    <x v="6"/>
    <x v="0"/>
    <n v="87.3"/>
    <n v="87.3"/>
    <d v="2025-01-30T00:00:00"/>
    <d v="2025-01-31T00:00:00"/>
    <s v="M"/>
    <x v="1"/>
    <x v="0"/>
    <x v="0"/>
    <x v="3"/>
    <x v="3"/>
    <x v="4"/>
    <x v="1"/>
  </r>
  <r>
    <s v="TX500703"/>
    <x v="8"/>
    <x v="12"/>
    <n v="32.4"/>
    <n v="129.6"/>
    <d v="2025-01-30T00:00:00"/>
    <d v="2025-01-30T00:00:00"/>
    <s v="M"/>
    <x v="1"/>
    <x v="0"/>
    <x v="0"/>
    <x v="3"/>
    <x v="7"/>
    <x v="4"/>
    <x v="1"/>
  </r>
  <r>
    <s v="TX500704"/>
    <x v="2"/>
    <x v="0"/>
    <n v="177.4"/>
    <n v="177.4"/>
    <d v="2025-01-30T00:00:00"/>
    <d v="2025-02-03T00:00:00"/>
    <s v="M"/>
    <x v="0"/>
    <x v="2"/>
    <x v="0"/>
    <x v="3"/>
    <x v="5"/>
    <x v="4"/>
    <x v="1"/>
  </r>
  <r>
    <s v="TX500705"/>
    <x v="7"/>
    <x v="1"/>
    <n v="70.099999999999994"/>
    <n v="140.19999999999999"/>
    <d v="2025-01-30T00:00:00"/>
    <d v="2025-01-31T00:00:00"/>
    <s v="M"/>
    <x v="3"/>
    <x v="1"/>
    <x v="0"/>
    <x v="3"/>
    <x v="3"/>
    <x v="4"/>
    <x v="1"/>
  </r>
  <r>
    <s v="TX500706"/>
    <x v="9"/>
    <x v="13"/>
    <n v="51.1"/>
    <n v="306.60000000000002"/>
    <d v="2025-01-30T00:00:00"/>
    <d v="2025-01-31T00:00:00"/>
    <s v="F"/>
    <x v="0"/>
    <x v="0"/>
    <x v="0"/>
    <x v="3"/>
    <x v="3"/>
    <x v="4"/>
    <x v="2"/>
  </r>
  <r>
    <s v="TX500707"/>
    <x v="2"/>
    <x v="9"/>
    <n v="79.900000000000006"/>
    <n v="399.5"/>
    <d v="2025-01-30T00:00:00"/>
    <d v="2025-02-01T00:00:00"/>
    <s v="M"/>
    <x v="3"/>
    <x v="2"/>
    <x v="0"/>
    <x v="24"/>
    <x v="1"/>
    <x v="4"/>
    <x v="1"/>
  </r>
  <r>
    <s v="TX500708"/>
    <x v="6"/>
    <x v="0"/>
    <n v="57.6"/>
    <n v="57.6"/>
    <d v="2025-01-31T00:00:00"/>
    <d v="2025-02-05T00:00:00"/>
    <s v="M"/>
    <x v="0"/>
    <x v="2"/>
    <x v="0"/>
    <x v="49"/>
    <x v="0"/>
    <x v="4"/>
    <x v="1"/>
  </r>
  <r>
    <s v="TX500709"/>
    <x v="8"/>
    <x v="7"/>
    <n v="59.7"/>
    <n v="597"/>
    <d v="2025-01-31T00:00:00"/>
    <d v="2025-02-04T00:00:00"/>
    <s v="M"/>
    <x v="2"/>
    <x v="0"/>
    <x v="0"/>
    <x v="25"/>
    <x v="5"/>
    <x v="4"/>
    <x v="1"/>
  </r>
  <r>
    <s v="TX500710"/>
    <x v="8"/>
    <x v="9"/>
    <n v="30"/>
    <n v="150"/>
    <d v="2025-01-31T00:00:00"/>
    <d v="2025-02-02T00:00:00"/>
    <s v="M"/>
    <x v="1"/>
    <x v="0"/>
    <x v="0"/>
    <x v="6"/>
    <x v="1"/>
    <x v="4"/>
    <x v="1"/>
  </r>
  <r>
    <s v="TX500711"/>
    <x v="10"/>
    <x v="1"/>
    <n v="69.2"/>
    <n v="138.4"/>
    <d v="2025-01-31T00:00:00"/>
    <d v="2025-02-02T00:00:00"/>
    <s v=""/>
    <x v="2"/>
    <x v="1"/>
    <x v="0"/>
    <x v="6"/>
    <x v="1"/>
    <x v="4"/>
    <x v="0"/>
  </r>
  <r>
    <s v="TX500712"/>
    <x v="0"/>
    <x v="8"/>
    <n v="10.9"/>
    <n v="87.2"/>
    <d v="2025-01-31T00:00:00"/>
    <d v="2025-02-01T00:00:00"/>
    <s v="F"/>
    <x v="0"/>
    <x v="2"/>
    <x v="0"/>
    <x v="6"/>
    <x v="3"/>
    <x v="4"/>
    <x v="2"/>
  </r>
  <r>
    <s v="TX500713"/>
    <x v="16"/>
    <x v="1"/>
    <n v="48.6"/>
    <n v="97.2"/>
    <d v="2025-01-31T00:00:00"/>
    <d v="2025-02-04T00:00:00"/>
    <s v="M"/>
    <x v="1"/>
    <x v="2"/>
    <x v="0"/>
    <x v="6"/>
    <x v="5"/>
    <x v="4"/>
    <x v="1"/>
  </r>
  <r>
    <s v="TX500714"/>
    <x v="2"/>
    <x v="1"/>
    <n v="61.1"/>
    <n v="122.2"/>
    <d v="2025-01-31T00:00:00"/>
    <d v="2025-02-03T00:00:00"/>
    <s v="F"/>
    <x v="1"/>
    <x v="2"/>
    <x v="0"/>
    <x v="7"/>
    <x v="2"/>
    <x v="4"/>
    <x v="2"/>
  </r>
  <r>
    <s v="TX500715"/>
    <x v="8"/>
    <x v="1"/>
    <n v="23.2"/>
    <n v="46.4"/>
    <d v="2025-01-31T00:00:00"/>
    <d v="2025-02-01T00:00:00"/>
    <s v="M"/>
    <x v="3"/>
    <x v="2"/>
    <x v="0"/>
    <x v="8"/>
    <x v="3"/>
    <x v="4"/>
    <x v="1"/>
  </r>
  <r>
    <s v="TX500716"/>
    <x v="12"/>
    <x v="12"/>
    <n v="55.8"/>
    <n v="223.2"/>
    <d v="2025-01-31T00:00:00"/>
    <d v="2025-02-01T00:00:00"/>
    <s v="M"/>
    <x v="0"/>
    <x v="0"/>
    <x v="0"/>
    <x v="8"/>
    <x v="3"/>
    <x v="4"/>
    <x v="1"/>
  </r>
  <r>
    <s v="TX500717"/>
    <x v="9"/>
    <x v="12"/>
    <n v="24.8"/>
    <n v="99.2"/>
    <d v="2025-01-31T00:00:00"/>
    <d v="2025-02-01T00:00:00"/>
    <s v="F"/>
    <x v="0"/>
    <x v="2"/>
    <x v="0"/>
    <x v="8"/>
    <x v="3"/>
    <x v="4"/>
    <x v="2"/>
  </r>
  <r>
    <s v="TX500718"/>
    <x v="10"/>
    <x v="1"/>
    <n v="27.9"/>
    <n v="55.8"/>
    <d v="2025-01-31T00:00:00"/>
    <d v="2025-01-31T00:00:00"/>
    <s v="M"/>
    <x v="2"/>
    <x v="2"/>
    <x v="0"/>
    <x v="8"/>
    <x v="7"/>
    <x v="4"/>
    <x v="1"/>
  </r>
  <r>
    <s v="TX500719"/>
    <x v="10"/>
    <x v="13"/>
    <n v="51.1"/>
    <n v="306.60000000000002"/>
    <d v="2025-01-31T00:00:00"/>
    <d v="2025-01-31T00:00:00"/>
    <s v="F"/>
    <x v="3"/>
    <x v="0"/>
    <x v="0"/>
    <x v="8"/>
    <x v="7"/>
    <x v="4"/>
    <x v="2"/>
  </r>
  <r>
    <s v="TX500720"/>
    <x v="17"/>
    <x v="5"/>
    <n v="32.700000000000003"/>
    <n v="359.70000000000005"/>
    <d v="2025-01-31T00:00:00"/>
    <d v="2025-02-01T00:00:00"/>
    <s v="M"/>
    <x v="4"/>
    <x v="2"/>
    <x v="0"/>
    <x v="17"/>
    <x v="3"/>
    <x v="4"/>
    <x v="1"/>
  </r>
  <r>
    <s v="TX500721"/>
    <x v="8"/>
    <x v="12"/>
    <n v="22.5"/>
    <n v="90"/>
    <d v="2025-01-31T00:00:00"/>
    <d v="2025-01-31T00:00:00"/>
    <s v="M"/>
    <x v="0"/>
    <x v="2"/>
    <x v="0"/>
    <x v="26"/>
    <x v="7"/>
    <x v="4"/>
    <x v="1"/>
  </r>
  <r>
    <s v="TX500722"/>
    <x v="0"/>
    <x v="3"/>
    <n v="14.6"/>
    <n v="102.2"/>
    <d v="2025-01-31T00:00:00"/>
    <d v="2025-02-01T00:00:00"/>
    <s v="F"/>
    <x v="2"/>
    <x v="0"/>
    <x v="0"/>
    <x v="41"/>
    <x v="3"/>
    <x v="4"/>
    <x v="2"/>
  </r>
  <r>
    <s v="TX500723"/>
    <x v="5"/>
    <x v="2"/>
    <n v="32.5"/>
    <n v="97.5"/>
    <d v="2025-01-31T00:00:00"/>
    <d v="2025-02-03T00:00:00"/>
    <s v="M"/>
    <x v="0"/>
    <x v="0"/>
    <x v="0"/>
    <x v="10"/>
    <x v="2"/>
    <x v="4"/>
    <x v="1"/>
  </r>
  <r>
    <s v="TX500724"/>
    <x v="18"/>
    <x v="0"/>
    <n v="78.099999999999994"/>
    <n v="78.099999999999994"/>
    <d v="2025-01-31T00:00:00"/>
    <d v="2025-02-03T00:00:00"/>
    <s v="M"/>
    <x v="0"/>
    <x v="2"/>
    <x v="0"/>
    <x v="11"/>
    <x v="2"/>
    <x v="4"/>
    <x v="1"/>
  </r>
  <r>
    <s v="TX500725"/>
    <x v="12"/>
    <x v="13"/>
    <n v="110.2"/>
    <n v="661.2"/>
    <d v="2025-01-31T00:00:00"/>
    <d v="2025-01-31T00:00:00"/>
    <s v="M"/>
    <x v="1"/>
    <x v="4"/>
    <x v="0"/>
    <x v="13"/>
    <x v="7"/>
    <x v="4"/>
    <x v="1"/>
  </r>
  <r>
    <s v="TX500726"/>
    <x v="6"/>
    <x v="2"/>
    <n v="86.3"/>
    <n v="258.89999999999998"/>
    <d v="2025-01-31T00:00:00"/>
    <d v="2025-02-02T00:00:00"/>
    <s v="F"/>
    <x v="3"/>
    <x v="0"/>
    <x v="0"/>
    <x v="21"/>
    <x v="1"/>
    <x v="4"/>
    <x v="2"/>
  </r>
  <r>
    <s v="TX500727"/>
    <x v="1"/>
    <x v="13"/>
    <n v="73.599999999999994"/>
    <n v="441.59999999999997"/>
    <d v="2025-01-31T00:00:00"/>
    <d v="2025-02-02T00:00:00"/>
    <s v="O"/>
    <x v="3"/>
    <x v="4"/>
    <x v="0"/>
    <x v="44"/>
    <x v="1"/>
    <x v="4"/>
    <x v="3"/>
  </r>
  <r>
    <s v="TX500728"/>
    <x v="6"/>
    <x v="15"/>
    <n v="67.7"/>
    <n v="880.1"/>
    <d v="2025-01-31T00:00:00"/>
    <d v="2025-02-02T00:00:00"/>
    <s v="F"/>
    <x v="0"/>
    <x v="2"/>
    <x v="0"/>
    <x v="3"/>
    <x v="1"/>
    <x v="4"/>
    <x v="2"/>
  </r>
  <r>
    <s v="TX500729"/>
    <x v="7"/>
    <x v="13"/>
    <n v="142.19999999999999"/>
    <n v="853.19999999999993"/>
    <d v="2025-01-31T00:00:00"/>
    <d v="2025-02-01T00:00:00"/>
    <s v="F"/>
    <x v="2"/>
    <x v="4"/>
    <x v="0"/>
    <x v="3"/>
    <x v="3"/>
    <x v="4"/>
    <x v="2"/>
  </r>
  <r>
    <s v="TX500730"/>
    <x v="1"/>
    <x v="11"/>
    <n v="45.8"/>
    <n v="412.2"/>
    <d v="2025-01-31T00:00:00"/>
    <d v="2025-02-02T00:00:00"/>
    <s v="F"/>
    <x v="1"/>
    <x v="2"/>
    <x v="0"/>
    <x v="3"/>
    <x v="1"/>
    <x v="4"/>
    <x v="2"/>
  </r>
  <r>
    <s v="TX500731"/>
    <x v="10"/>
    <x v="1"/>
    <n v="24.2"/>
    <n v="48.4"/>
    <d v="2025-02-01T00:00:00"/>
    <d v="2025-02-04T00:00:00"/>
    <s v="F"/>
    <x v="3"/>
    <x v="2"/>
    <x v="0"/>
    <x v="3"/>
    <x v="2"/>
    <x v="4"/>
    <x v="2"/>
  </r>
  <r>
    <s v="TX500732"/>
    <x v="2"/>
    <x v="2"/>
    <n v="144.9"/>
    <n v="434.70000000000005"/>
    <d v="2025-02-01T00:00:00"/>
    <d v="2025-02-02T00:00:00"/>
    <s v="O"/>
    <x v="2"/>
    <x v="2"/>
    <x v="0"/>
    <x v="3"/>
    <x v="3"/>
    <x v="4"/>
    <x v="3"/>
  </r>
  <r>
    <s v="TX500733"/>
    <x v="11"/>
    <x v="9"/>
    <n v="32.799999999999997"/>
    <n v="164"/>
    <d v="2025-02-01T00:00:00"/>
    <d v="2025-02-04T00:00:00"/>
    <s v="F"/>
    <x v="2"/>
    <x v="0"/>
    <x v="0"/>
    <x v="23"/>
    <x v="2"/>
    <x v="4"/>
    <x v="2"/>
  </r>
  <r>
    <s v="TX500734"/>
    <x v="7"/>
    <x v="7"/>
    <n v="35.700000000000003"/>
    <n v="357"/>
    <d v="2025-02-01T00:00:00"/>
    <d v="2025-02-01T00:00:00"/>
    <s v="F"/>
    <x v="0"/>
    <x v="1"/>
    <x v="0"/>
    <x v="6"/>
    <x v="7"/>
    <x v="4"/>
    <x v="2"/>
  </r>
  <r>
    <s v="TX500735"/>
    <x v="9"/>
    <x v="1"/>
    <n v="54.6"/>
    <n v="109.2"/>
    <d v="2025-02-01T00:00:00"/>
    <d v="2025-02-02T00:00:00"/>
    <s v="F"/>
    <x v="2"/>
    <x v="0"/>
    <x v="0"/>
    <x v="6"/>
    <x v="3"/>
    <x v="4"/>
    <x v="2"/>
  </r>
  <r>
    <s v="TX500736"/>
    <x v="8"/>
    <x v="1"/>
    <n v="35.700000000000003"/>
    <n v="71.400000000000006"/>
    <d v="2025-02-01T00:00:00"/>
    <d v="2025-02-04T00:00:00"/>
    <s v=""/>
    <x v="0"/>
    <x v="1"/>
    <x v="0"/>
    <x v="6"/>
    <x v="2"/>
    <x v="4"/>
    <x v="0"/>
  </r>
  <r>
    <s v="TX500737"/>
    <x v="10"/>
    <x v="1"/>
    <n v="52.4"/>
    <n v="104.8"/>
    <d v="2025-02-01T00:00:00"/>
    <d v="2025-02-01T00:00:00"/>
    <s v="F"/>
    <x v="0"/>
    <x v="3"/>
    <x v="0"/>
    <x v="6"/>
    <x v="7"/>
    <x v="4"/>
    <x v="2"/>
  </r>
  <r>
    <s v="TX500738"/>
    <x v="8"/>
    <x v="21"/>
    <n v="16.2"/>
    <n v="226.79999999999998"/>
    <d v="2025-02-01T00:00:00"/>
    <d v="2025-02-02T00:00:00"/>
    <s v=""/>
    <x v="0"/>
    <x v="1"/>
    <x v="0"/>
    <x v="8"/>
    <x v="3"/>
    <x v="4"/>
    <x v="0"/>
  </r>
  <r>
    <s v="TX500739"/>
    <x v="6"/>
    <x v="35"/>
    <n v="42.8"/>
    <n v="2011.6"/>
    <d v="2025-02-01T00:00:00"/>
    <d v="2025-02-02T00:00:00"/>
    <s v="F"/>
    <x v="0"/>
    <x v="0"/>
    <x v="0"/>
    <x v="8"/>
    <x v="3"/>
    <x v="4"/>
    <x v="2"/>
  </r>
  <r>
    <s v="TX500740"/>
    <x v="6"/>
    <x v="11"/>
    <n v="144.4"/>
    <n v="1299.6000000000001"/>
    <d v="2025-02-01T00:00:00"/>
    <d v="2025-02-04T00:00:00"/>
    <s v="F"/>
    <x v="4"/>
    <x v="0"/>
    <x v="0"/>
    <x v="8"/>
    <x v="2"/>
    <x v="4"/>
    <x v="2"/>
  </r>
  <r>
    <s v="TX500741"/>
    <x v="3"/>
    <x v="34"/>
    <n v="30.6"/>
    <n v="1101.6000000000001"/>
    <d v="2025-02-01T00:00:00"/>
    <d v="2025-02-05T00:00:00"/>
    <s v="F"/>
    <x v="2"/>
    <x v="2"/>
    <x v="0"/>
    <x v="11"/>
    <x v="5"/>
    <x v="4"/>
    <x v="2"/>
  </r>
  <r>
    <s v="TX500742"/>
    <x v="2"/>
    <x v="1"/>
    <n v="117.5"/>
    <n v="235"/>
    <d v="2025-02-01T00:00:00"/>
    <d v="2025-02-02T00:00:00"/>
    <s v="M"/>
    <x v="0"/>
    <x v="0"/>
    <x v="0"/>
    <x v="19"/>
    <x v="3"/>
    <x v="4"/>
    <x v="1"/>
  </r>
  <r>
    <s v="TX500743"/>
    <x v="6"/>
    <x v="1"/>
    <n v="105.7"/>
    <n v="211.4"/>
    <d v="2025-02-01T00:00:00"/>
    <d v="2025-02-02T00:00:00"/>
    <s v="F"/>
    <x v="2"/>
    <x v="2"/>
    <x v="0"/>
    <x v="21"/>
    <x v="3"/>
    <x v="4"/>
    <x v="2"/>
  </r>
  <r>
    <s v="TX500744"/>
    <x v="3"/>
    <x v="2"/>
    <n v="133.69999999999999"/>
    <n v="401.09999999999997"/>
    <d v="2025-02-01T00:00:00"/>
    <d v="2025-02-02T00:00:00"/>
    <s v=""/>
    <x v="4"/>
    <x v="2"/>
    <x v="0"/>
    <x v="21"/>
    <x v="3"/>
    <x v="4"/>
    <x v="0"/>
  </r>
  <r>
    <s v="TX500745"/>
    <x v="4"/>
    <x v="9"/>
    <n v="46.8"/>
    <n v="234"/>
    <d v="2025-02-02T00:00:00"/>
    <d v="2025-02-10T00:00:00"/>
    <s v="F"/>
    <x v="0"/>
    <x v="1"/>
    <x v="0"/>
    <x v="21"/>
    <x v="9"/>
    <x v="5"/>
    <x v="2"/>
  </r>
  <r>
    <s v="TX500746"/>
    <x v="10"/>
    <x v="2"/>
    <n v="58.4"/>
    <n v="175.2"/>
    <d v="2025-02-02T00:00:00"/>
    <d v="2025-02-04T00:00:00"/>
    <s v="F"/>
    <x v="0"/>
    <x v="0"/>
    <x v="0"/>
    <x v="1"/>
    <x v="1"/>
    <x v="5"/>
    <x v="2"/>
  </r>
  <r>
    <s v="TX500747"/>
    <x v="6"/>
    <x v="11"/>
    <n v="65.099999999999994"/>
    <n v="585.9"/>
    <d v="2025-02-02T00:00:00"/>
    <d v="2025-02-06T00:00:00"/>
    <s v="M"/>
    <x v="1"/>
    <x v="2"/>
    <x v="0"/>
    <x v="22"/>
    <x v="5"/>
    <x v="5"/>
    <x v="1"/>
  </r>
  <r>
    <s v="TX500748"/>
    <x v="8"/>
    <x v="0"/>
    <n v="18.600000000000001"/>
    <n v="18.600000000000001"/>
    <d v="2025-02-02T00:00:00"/>
    <d v="2025-02-05T00:00:00"/>
    <s v="F"/>
    <x v="0"/>
    <x v="4"/>
    <x v="0"/>
    <x v="22"/>
    <x v="2"/>
    <x v="5"/>
    <x v="2"/>
  </r>
  <r>
    <s v="TX500749"/>
    <x v="1"/>
    <x v="5"/>
    <n v="92.3"/>
    <n v="1015.3"/>
    <d v="2025-02-02T00:00:00"/>
    <d v="2025-02-04T00:00:00"/>
    <s v="M"/>
    <x v="1"/>
    <x v="0"/>
    <x v="0"/>
    <x v="3"/>
    <x v="1"/>
    <x v="5"/>
    <x v="1"/>
  </r>
  <r>
    <s v="TX500750"/>
    <x v="6"/>
    <x v="2"/>
    <n v="81.7"/>
    <n v="245.10000000000002"/>
    <d v="2025-02-02T00:00:00"/>
    <d v="2025-02-03T00:00:00"/>
    <s v=""/>
    <x v="4"/>
    <x v="4"/>
    <x v="0"/>
    <x v="3"/>
    <x v="3"/>
    <x v="5"/>
    <x v="0"/>
  </r>
  <r>
    <s v="TX500751"/>
    <x v="8"/>
    <x v="1"/>
    <n v="40.9"/>
    <n v="81.8"/>
    <d v="2025-02-02T00:00:00"/>
    <d v="2025-02-04T00:00:00"/>
    <s v="M"/>
    <x v="0"/>
    <x v="1"/>
    <x v="0"/>
    <x v="3"/>
    <x v="1"/>
    <x v="5"/>
    <x v="1"/>
  </r>
  <r>
    <s v="TX500752"/>
    <x v="6"/>
    <x v="12"/>
    <n v="43.2"/>
    <n v="172.8"/>
    <d v="2025-02-02T00:00:00"/>
    <d v="2025-02-08T00:00:00"/>
    <s v="F"/>
    <x v="0"/>
    <x v="1"/>
    <x v="0"/>
    <x v="3"/>
    <x v="4"/>
    <x v="5"/>
    <x v="2"/>
  </r>
  <r>
    <s v="TX500753"/>
    <x v="8"/>
    <x v="5"/>
    <n v="25.8"/>
    <n v="283.8"/>
    <d v="2025-02-02T00:00:00"/>
    <d v="2025-02-05T00:00:00"/>
    <s v="M"/>
    <x v="2"/>
    <x v="1"/>
    <x v="0"/>
    <x v="3"/>
    <x v="2"/>
    <x v="5"/>
    <x v="1"/>
  </r>
  <r>
    <s v="TX500754"/>
    <x v="15"/>
    <x v="12"/>
    <n v="36.4"/>
    <n v="145.6"/>
    <d v="2025-02-02T00:00:00"/>
    <d v="2025-02-03T00:00:00"/>
    <s v="M"/>
    <x v="0"/>
    <x v="0"/>
    <x v="0"/>
    <x v="3"/>
    <x v="3"/>
    <x v="5"/>
    <x v="1"/>
  </r>
  <r>
    <s v="TX500755"/>
    <x v="10"/>
    <x v="0"/>
    <n v="59.1"/>
    <n v="59.1"/>
    <d v="2025-02-02T00:00:00"/>
    <d v="2025-02-03T00:00:00"/>
    <s v="F"/>
    <x v="2"/>
    <x v="0"/>
    <x v="0"/>
    <x v="7"/>
    <x v="3"/>
    <x v="5"/>
    <x v="2"/>
  </r>
  <r>
    <s v="TX500756"/>
    <x v="2"/>
    <x v="14"/>
    <n v="74.5"/>
    <n v="1266.5"/>
    <d v="2025-02-02T00:00:00"/>
    <d v="2025-02-04T00:00:00"/>
    <s v="M"/>
    <x v="4"/>
    <x v="0"/>
    <x v="0"/>
    <x v="18"/>
    <x v="1"/>
    <x v="5"/>
    <x v="1"/>
  </r>
  <r>
    <s v="TX500757"/>
    <x v="5"/>
    <x v="0"/>
    <n v="72.8"/>
    <n v="72.8"/>
    <d v="2025-02-02T00:00:00"/>
    <d v="2025-02-03T00:00:00"/>
    <s v="F"/>
    <x v="0"/>
    <x v="1"/>
    <x v="0"/>
    <x v="19"/>
    <x v="3"/>
    <x v="5"/>
    <x v="2"/>
  </r>
  <r>
    <s v="TX500758"/>
    <x v="6"/>
    <x v="12"/>
    <n v="137.30000000000001"/>
    <n v="549.20000000000005"/>
    <d v="2025-02-02T00:00:00"/>
    <d v="2025-02-05T00:00:00"/>
    <s v="F"/>
    <x v="0"/>
    <x v="0"/>
    <x v="0"/>
    <x v="13"/>
    <x v="2"/>
    <x v="5"/>
    <x v="2"/>
  </r>
  <r>
    <s v="TX500759"/>
    <x v="1"/>
    <x v="2"/>
    <n v="48.7"/>
    <n v="146.10000000000002"/>
    <d v="2025-02-02T00:00:00"/>
    <d v="2025-02-07T00:00:00"/>
    <s v="F"/>
    <x v="0"/>
    <x v="1"/>
    <x v="0"/>
    <x v="21"/>
    <x v="0"/>
    <x v="5"/>
    <x v="2"/>
  </r>
  <r>
    <s v="TX500760"/>
    <x v="6"/>
    <x v="12"/>
    <n v="53.7"/>
    <n v="214.8"/>
    <d v="2025-02-02T00:00:00"/>
    <d v="2025-02-06T00:00:00"/>
    <s v="M"/>
    <x v="1"/>
    <x v="4"/>
    <x v="0"/>
    <x v="2"/>
    <x v="5"/>
    <x v="5"/>
    <x v="1"/>
  </r>
  <r>
    <s v="TX500761"/>
    <x v="2"/>
    <x v="3"/>
    <n v="100.9"/>
    <n v="706.30000000000007"/>
    <d v="2025-02-02T00:00:00"/>
    <d v="2025-02-04T00:00:00"/>
    <s v="F"/>
    <x v="0"/>
    <x v="1"/>
    <x v="0"/>
    <x v="2"/>
    <x v="1"/>
    <x v="5"/>
    <x v="2"/>
  </r>
  <r>
    <s v="TX500762"/>
    <x v="10"/>
    <x v="1"/>
    <n v="41.8"/>
    <n v="83.6"/>
    <d v="2025-02-02T00:00:00"/>
    <d v="2025-02-06T00:00:00"/>
    <s v="M"/>
    <x v="3"/>
    <x v="2"/>
    <x v="0"/>
    <x v="22"/>
    <x v="5"/>
    <x v="5"/>
    <x v="1"/>
  </r>
  <r>
    <s v="TX500763"/>
    <x v="4"/>
    <x v="8"/>
    <n v="28.5"/>
    <n v="228"/>
    <d v="2025-02-02T00:00:00"/>
    <d v="2025-02-04T00:00:00"/>
    <s v="M"/>
    <x v="2"/>
    <x v="1"/>
    <x v="0"/>
    <x v="3"/>
    <x v="1"/>
    <x v="5"/>
    <x v="1"/>
  </r>
  <r>
    <s v="TX500764"/>
    <x v="7"/>
    <x v="12"/>
    <n v="88.9"/>
    <n v="355.6"/>
    <d v="2025-02-02T00:00:00"/>
    <d v="2025-02-05T00:00:00"/>
    <s v="F"/>
    <x v="0"/>
    <x v="2"/>
    <x v="0"/>
    <x v="3"/>
    <x v="2"/>
    <x v="5"/>
    <x v="2"/>
  </r>
  <r>
    <s v="TX500765"/>
    <x v="6"/>
    <x v="0"/>
    <n v="62.5"/>
    <n v="62.5"/>
    <d v="2025-02-02T00:00:00"/>
    <d v="2025-02-11T00:00:00"/>
    <s v="F"/>
    <x v="0"/>
    <x v="2"/>
    <x v="0"/>
    <x v="3"/>
    <x v="8"/>
    <x v="5"/>
    <x v="2"/>
  </r>
  <r>
    <s v="TX500766"/>
    <x v="1"/>
    <x v="2"/>
    <n v="46.9"/>
    <n v="140.69999999999999"/>
    <d v="2025-02-02T00:00:00"/>
    <d v="2025-02-03T00:00:00"/>
    <s v="M"/>
    <x v="0"/>
    <x v="2"/>
    <x v="0"/>
    <x v="3"/>
    <x v="3"/>
    <x v="5"/>
    <x v="1"/>
  </r>
  <r>
    <s v="TX500767"/>
    <x v="8"/>
    <x v="2"/>
    <n v="45"/>
    <n v="135"/>
    <d v="2025-02-02T00:00:00"/>
    <d v="2025-02-16T00:00:00"/>
    <s v="M"/>
    <x v="1"/>
    <x v="0"/>
    <x v="0"/>
    <x v="3"/>
    <x v="12"/>
    <x v="5"/>
    <x v="1"/>
  </r>
  <r>
    <s v="TX500768"/>
    <x v="6"/>
    <x v="2"/>
    <n v="45.2"/>
    <n v="135.60000000000002"/>
    <d v="2025-02-02T00:00:00"/>
    <d v="2025-02-04T00:00:00"/>
    <s v="M"/>
    <x v="4"/>
    <x v="2"/>
    <x v="0"/>
    <x v="3"/>
    <x v="1"/>
    <x v="5"/>
    <x v="1"/>
  </r>
  <r>
    <s v="TX500769"/>
    <x v="4"/>
    <x v="1"/>
    <n v="60.1"/>
    <n v="120.2"/>
    <d v="2025-02-02T00:00:00"/>
    <d v="2025-02-03T00:00:00"/>
    <s v="F"/>
    <x v="0"/>
    <x v="2"/>
    <x v="0"/>
    <x v="3"/>
    <x v="3"/>
    <x v="5"/>
    <x v="2"/>
  </r>
  <r>
    <s v="TX500770"/>
    <x v="12"/>
    <x v="12"/>
    <n v="118.7"/>
    <n v="474.8"/>
    <d v="2025-02-02T00:00:00"/>
    <d v="2025-02-04T00:00:00"/>
    <s v="F"/>
    <x v="0"/>
    <x v="0"/>
    <x v="0"/>
    <x v="3"/>
    <x v="1"/>
    <x v="5"/>
    <x v="2"/>
  </r>
  <r>
    <s v="TX500771"/>
    <x v="9"/>
    <x v="0"/>
    <n v="57.8"/>
    <n v="57.8"/>
    <d v="2025-02-02T00:00:00"/>
    <d v="2025-02-11T00:00:00"/>
    <s v="F"/>
    <x v="1"/>
    <x v="0"/>
    <x v="0"/>
    <x v="3"/>
    <x v="8"/>
    <x v="5"/>
    <x v="2"/>
  </r>
  <r>
    <s v="TX500772"/>
    <x v="4"/>
    <x v="0"/>
    <n v="19.5"/>
    <n v="19.5"/>
    <d v="2025-02-02T00:00:00"/>
    <d v="2025-02-03T00:00:00"/>
    <s v="M"/>
    <x v="1"/>
    <x v="1"/>
    <x v="0"/>
    <x v="3"/>
    <x v="3"/>
    <x v="5"/>
    <x v="1"/>
  </r>
  <r>
    <s v="TX500773"/>
    <x v="12"/>
    <x v="0"/>
    <n v="42.6"/>
    <n v="42.6"/>
    <d v="2025-02-02T00:00:00"/>
    <d v="2025-02-03T00:00:00"/>
    <s v="M"/>
    <x v="0"/>
    <x v="1"/>
    <x v="0"/>
    <x v="3"/>
    <x v="3"/>
    <x v="5"/>
    <x v="1"/>
  </r>
  <r>
    <s v="TX500774"/>
    <x v="6"/>
    <x v="1"/>
    <n v="74.8"/>
    <n v="149.6"/>
    <d v="2025-02-02T00:00:00"/>
    <d v="2025-02-03T00:00:00"/>
    <s v="F"/>
    <x v="3"/>
    <x v="2"/>
    <x v="0"/>
    <x v="37"/>
    <x v="3"/>
    <x v="5"/>
    <x v="2"/>
  </r>
  <r>
    <s v="TX500775"/>
    <x v="8"/>
    <x v="2"/>
    <n v="32.5"/>
    <n v="97.5"/>
    <d v="2025-02-02T00:00:00"/>
    <d v="2025-02-03T00:00:00"/>
    <s v="M"/>
    <x v="2"/>
    <x v="4"/>
    <x v="0"/>
    <x v="16"/>
    <x v="3"/>
    <x v="5"/>
    <x v="1"/>
  </r>
  <r>
    <s v="TX500776"/>
    <x v="2"/>
    <x v="2"/>
    <n v="60.5"/>
    <n v="181.5"/>
    <d v="2025-02-02T00:00:00"/>
    <d v="2025-02-02T00:00:00"/>
    <s v="F"/>
    <x v="1"/>
    <x v="2"/>
    <x v="0"/>
    <x v="25"/>
    <x v="7"/>
    <x v="5"/>
    <x v="2"/>
  </r>
  <r>
    <s v="TX500777"/>
    <x v="1"/>
    <x v="3"/>
    <n v="57.2"/>
    <n v="400.40000000000003"/>
    <d v="2025-02-02T00:00:00"/>
    <d v="2025-02-04T00:00:00"/>
    <s v=""/>
    <x v="2"/>
    <x v="0"/>
    <x v="0"/>
    <x v="25"/>
    <x v="1"/>
    <x v="5"/>
    <x v="0"/>
  </r>
  <r>
    <s v="TX500778"/>
    <x v="16"/>
    <x v="1"/>
    <n v="112"/>
    <n v="224"/>
    <d v="2025-02-02T00:00:00"/>
    <d v="2025-02-03T00:00:00"/>
    <s v="F"/>
    <x v="1"/>
    <x v="1"/>
    <x v="0"/>
    <x v="5"/>
    <x v="3"/>
    <x v="5"/>
    <x v="2"/>
  </r>
  <r>
    <s v="TX500779"/>
    <x v="7"/>
    <x v="7"/>
    <n v="49"/>
    <n v="490"/>
    <d v="2025-02-02T00:00:00"/>
    <d v="2025-02-03T00:00:00"/>
    <s v="O"/>
    <x v="2"/>
    <x v="1"/>
    <x v="0"/>
    <x v="6"/>
    <x v="3"/>
    <x v="5"/>
    <x v="3"/>
  </r>
  <r>
    <s v="TX500780"/>
    <x v="0"/>
    <x v="1"/>
    <n v="33.700000000000003"/>
    <n v="67.400000000000006"/>
    <d v="2025-02-02T00:00:00"/>
    <d v="2025-02-06T00:00:00"/>
    <s v="F"/>
    <x v="3"/>
    <x v="0"/>
    <x v="0"/>
    <x v="6"/>
    <x v="5"/>
    <x v="5"/>
    <x v="2"/>
  </r>
  <r>
    <s v="TX500781"/>
    <x v="4"/>
    <x v="2"/>
    <n v="35.6"/>
    <n v="106.80000000000001"/>
    <d v="2025-02-02T00:00:00"/>
    <d v="2025-02-05T00:00:00"/>
    <s v="F"/>
    <x v="0"/>
    <x v="2"/>
    <x v="0"/>
    <x v="6"/>
    <x v="2"/>
    <x v="5"/>
    <x v="2"/>
  </r>
  <r>
    <s v="TX500782"/>
    <x v="4"/>
    <x v="36"/>
    <n v="30.4"/>
    <n v="1064"/>
    <d v="2025-02-03T00:00:00"/>
    <d v="2025-02-03T00:00:00"/>
    <s v="F"/>
    <x v="0"/>
    <x v="1"/>
    <x v="0"/>
    <x v="7"/>
    <x v="7"/>
    <x v="5"/>
    <x v="2"/>
  </r>
  <r>
    <s v="TX500783"/>
    <x v="10"/>
    <x v="4"/>
    <n v="50.2"/>
    <n v="602.40000000000009"/>
    <d v="2025-02-03T00:00:00"/>
    <d v="2025-02-04T00:00:00"/>
    <s v="M"/>
    <x v="4"/>
    <x v="0"/>
    <x v="0"/>
    <x v="8"/>
    <x v="3"/>
    <x v="5"/>
    <x v="1"/>
  </r>
  <r>
    <s v="TX500784"/>
    <x v="1"/>
    <x v="1"/>
    <n v="43.7"/>
    <n v="87.4"/>
    <d v="2025-02-03T00:00:00"/>
    <d v="2025-02-05T00:00:00"/>
    <s v="F"/>
    <x v="0"/>
    <x v="0"/>
    <x v="0"/>
    <x v="8"/>
    <x v="1"/>
    <x v="5"/>
    <x v="2"/>
  </r>
  <r>
    <s v="TX500785"/>
    <x v="10"/>
    <x v="0"/>
    <n v="33.299999999999997"/>
    <n v="33.299999999999997"/>
    <d v="2025-02-03T00:00:00"/>
    <d v="2025-02-04T00:00:00"/>
    <s v="F"/>
    <x v="2"/>
    <x v="1"/>
    <x v="0"/>
    <x v="8"/>
    <x v="3"/>
    <x v="5"/>
    <x v="2"/>
  </r>
  <r>
    <s v="TX500786"/>
    <x v="8"/>
    <x v="12"/>
    <n v="15.1"/>
    <n v="60.4"/>
    <d v="2025-02-03T00:00:00"/>
    <d v="2025-02-05T00:00:00"/>
    <s v="F"/>
    <x v="4"/>
    <x v="2"/>
    <x v="0"/>
    <x v="8"/>
    <x v="1"/>
    <x v="5"/>
    <x v="2"/>
  </r>
  <r>
    <s v="TX500787"/>
    <x v="6"/>
    <x v="9"/>
    <n v="118.2"/>
    <n v="591"/>
    <d v="2025-02-03T00:00:00"/>
    <d v="2025-02-04T00:00:00"/>
    <s v="F"/>
    <x v="3"/>
    <x v="4"/>
    <x v="0"/>
    <x v="8"/>
    <x v="3"/>
    <x v="5"/>
    <x v="2"/>
  </r>
  <r>
    <s v="TX500788"/>
    <x v="10"/>
    <x v="2"/>
    <n v="28.9"/>
    <n v="86.699999999999989"/>
    <d v="2025-02-03T00:00:00"/>
    <d v="2025-02-05T00:00:00"/>
    <s v="F"/>
    <x v="2"/>
    <x v="1"/>
    <x v="0"/>
    <x v="8"/>
    <x v="1"/>
    <x v="5"/>
    <x v="2"/>
  </r>
  <r>
    <s v="TX500789"/>
    <x v="4"/>
    <x v="2"/>
    <n v="55.6"/>
    <n v="166.8"/>
    <d v="2025-02-03T00:00:00"/>
    <d v="2025-02-04T00:00:00"/>
    <s v="M"/>
    <x v="0"/>
    <x v="1"/>
    <x v="0"/>
    <x v="8"/>
    <x v="3"/>
    <x v="5"/>
    <x v="1"/>
  </r>
  <r>
    <s v="TX500790"/>
    <x v="9"/>
    <x v="12"/>
    <n v="25.6"/>
    <n v="102.4"/>
    <d v="2025-02-03T00:00:00"/>
    <d v="2025-02-05T00:00:00"/>
    <s v="F"/>
    <x v="0"/>
    <x v="1"/>
    <x v="0"/>
    <x v="8"/>
    <x v="1"/>
    <x v="5"/>
    <x v="2"/>
  </r>
  <r>
    <s v="TX500791"/>
    <x v="7"/>
    <x v="2"/>
    <n v="31.3"/>
    <n v="93.9"/>
    <d v="2025-02-03T00:00:00"/>
    <d v="2025-02-04T00:00:00"/>
    <s v="M"/>
    <x v="0"/>
    <x v="0"/>
    <x v="0"/>
    <x v="17"/>
    <x v="3"/>
    <x v="5"/>
    <x v="1"/>
  </r>
  <r>
    <s v="TX500792"/>
    <x v="0"/>
    <x v="2"/>
    <n v="22.1"/>
    <n v="66.300000000000011"/>
    <d v="2025-02-03T00:00:00"/>
    <d v="2025-02-07T00:00:00"/>
    <s v="M"/>
    <x v="0"/>
    <x v="0"/>
    <x v="0"/>
    <x v="17"/>
    <x v="5"/>
    <x v="5"/>
    <x v="1"/>
  </r>
  <r>
    <s v="TX500793"/>
    <x v="2"/>
    <x v="21"/>
    <n v="99.4"/>
    <n v="1391.6000000000001"/>
    <d v="2025-02-03T00:00:00"/>
    <d v="2025-02-04T00:00:00"/>
    <s v="M"/>
    <x v="1"/>
    <x v="0"/>
    <x v="0"/>
    <x v="11"/>
    <x v="3"/>
    <x v="5"/>
    <x v="1"/>
  </r>
  <r>
    <s v="TX500794"/>
    <x v="7"/>
    <x v="13"/>
    <n v="66.599999999999994"/>
    <n v="399.59999999999997"/>
    <d v="2025-02-03T00:00:00"/>
    <d v="2025-02-04T00:00:00"/>
    <s v="F"/>
    <x v="0"/>
    <x v="0"/>
    <x v="0"/>
    <x v="11"/>
    <x v="3"/>
    <x v="5"/>
    <x v="2"/>
  </r>
  <r>
    <s v="TX500795"/>
    <x v="8"/>
    <x v="1"/>
    <n v="22.6"/>
    <n v="45.2"/>
    <d v="2025-02-03T00:00:00"/>
    <d v="2025-02-06T00:00:00"/>
    <s v="M"/>
    <x v="0"/>
    <x v="0"/>
    <x v="0"/>
    <x v="11"/>
    <x v="2"/>
    <x v="5"/>
    <x v="1"/>
  </r>
  <r>
    <s v="TX500796"/>
    <x v="2"/>
    <x v="16"/>
    <n v="66.8"/>
    <n v="1202.3999999999999"/>
    <d v="2025-02-03T00:00:00"/>
    <d v="2025-02-04T00:00:00"/>
    <s v="F"/>
    <x v="0"/>
    <x v="4"/>
    <x v="0"/>
    <x v="13"/>
    <x v="3"/>
    <x v="5"/>
    <x v="2"/>
  </r>
  <r>
    <s v="TX500797"/>
    <x v="0"/>
    <x v="12"/>
    <n v="20.8"/>
    <n v="83.2"/>
    <d v="2025-02-03T00:00:00"/>
    <d v="2025-02-10T00:00:00"/>
    <s v="M"/>
    <x v="1"/>
    <x v="4"/>
    <x v="0"/>
    <x v="1"/>
    <x v="6"/>
    <x v="5"/>
    <x v="1"/>
  </r>
  <r>
    <s v="TX500798"/>
    <x v="2"/>
    <x v="3"/>
    <n v="102.5"/>
    <n v="717.5"/>
    <d v="2025-02-03T00:00:00"/>
    <d v="2025-02-04T00:00:00"/>
    <s v="F"/>
    <x v="4"/>
    <x v="2"/>
    <x v="0"/>
    <x v="3"/>
    <x v="3"/>
    <x v="5"/>
    <x v="2"/>
  </r>
  <r>
    <s v="TX500799"/>
    <x v="0"/>
    <x v="16"/>
    <n v="24.8"/>
    <n v="446.40000000000003"/>
    <d v="2025-02-03T00:00:00"/>
    <d v="2025-02-07T00:00:00"/>
    <s v="F"/>
    <x v="0"/>
    <x v="0"/>
    <x v="0"/>
    <x v="3"/>
    <x v="5"/>
    <x v="5"/>
    <x v="2"/>
  </r>
  <r>
    <s v="TX500800"/>
    <x v="4"/>
    <x v="37"/>
    <n v="31.4"/>
    <n v="973.4"/>
    <d v="2025-02-03T00:00:00"/>
    <d v="2025-02-04T00:00:00"/>
    <s v="F"/>
    <x v="3"/>
    <x v="0"/>
    <x v="0"/>
    <x v="3"/>
    <x v="3"/>
    <x v="5"/>
    <x v="2"/>
  </r>
  <r>
    <s v="TX500801"/>
    <x v="9"/>
    <x v="9"/>
    <n v="59.3"/>
    <n v="296.5"/>
    <d v="2025-02-03T00:00:00"/>
    <d v="2025-02-06T00:00:00"/>
    <s v="M"/>
    <x v="1"/>
    <x v="2"/>
    <x v="0"/>
    <x v="43"/>
    <x v="2"/>
    <x v="5"/>
    <x v="1"/>
  </r>
  <r>
    <s v="TX500802"/>
    <x v="11"/>
    <x v="13"/>
    <n v="39"/>
    <n v="234"/>
    <d v="2025-02-03T00:00:00"/>
    <d v="2025-02-06T00:00:00"/>
    <s v="M"/>
    <x v="1"/>
    <x v="0"/>
    <x v="0"/>
    <x v="6"/>
    <x v="2"/>
    <x v="5"/>
    <x v="1"/>
  </r>
  <r>
    <s v="TX500803"/>
    <x v="5"/>
    <x v="13"/>
    <n v="98.6"/>
    <n v="591.59999999999991"/>
    <d v="2025-02-03T00:00:00"/>
    <d v="2025-02-05T00:00:00"/>
    <s v="F"/>
    <x v="1"/>
    <x v="0"/>
    <x v="0"/>
    <x v="6"/>
    <x v="1"/>
    <x v="5"/>
    <x v="2"/>
  </r>
  <r>
    <s v="TX500804"/>
    <x v="8"/>
    <x v="0"/>
    <n v="20"/>
    <n v="20"/>
    <d v="2025-02-04T00:00:00"/>
    <d v="2025-02-05T00:00:00"/>
    <s v="M"/>
    <x v="3"/>
    <x v="2"/>
    <x v="0"/>
    <x v="8"/>
    <x v="3"/>
    <x v="5"/>
    <x v="1"/>
  </r>
  <r>
    <s v="TX500805"/>
    <x v="1"/>
    <x v="1"/>
    <n v="42.9"/>
    <n v="85.8"/>
    <d v="2025-02-04T00:00:00"/>
    <d v="2025-02-06T00:00:00"/>
    <s v="F"/>
    <x v="0"/>
    <x v="2"/>
    <x v="0"/>
    <x v="8"/>
    <x v="1"/>
    <x v="5"/>
    <x v="2"/>
  </r>
  <r>
    <s v="TX500806"/>
    <x v="7"/>
    <x v="3"/>
    <n v="55.6"/>
    <n v="389.2"/>
    <d v="2025-02-04T00:00:00"/>
    <d v="2025-02-06T00:00:00"/>
    <s v="F"/>
    <x v="2"/>
    <x v="1"/>
    <x v="0"/>
    <x v="8"/>
    <x v="1"/>
    <x v="5"/>
    <x v="2"/>
  </r>
  <r>
    <s v="TX500807"/>
    <x v="8"/>
    <x v="12"/>
    <n v="19.2"/>
    <n v="76.8"/>
    <d v="2025-02-04T00:00:00"/>
    <d v="2025-02-09T00:00:00"/>
    <s v="F"/>
    <x v="0"/>
    <x v="0"/>
    <x v="0"/>
    <x v="41"/>
    <x v="0"/>
    <x v="5"/>
    <x v="2"/>
  </r>
  <r>
    <s v="TX500808"/>
    <x v="5"/>
    <x v="1"/>
    <n v="28.8"/>
    <n v="57.6"/>
    <d v="2025-02-04T00:00:00"/>
    <d v="2025-02-06T00:00:00"/>
    <s v="M"/>
    <x v="1"/>
    <x v="0"/>
    <x v="0"/>
    <x v="18"/>
    <x v="1"/>
    <x v="5"/>
    <x v="1"/>
  </r>
  <r>
    <s v="TX500809"/>
    <x v="4"/>
    <x v="0"/>
    <n v="29.7"/>
    <n v="29.7"/>
    <d v="2025-02-04T00:00:00"/>
    <d v="2025-02-06T00:00:00"/>
    <s v="F"/>
    <x v="2"/>
    <x v="4"/>
    <x v="0"/>
    <x v="20"/>
    <x v="1"/>
    <x v="5"/>
    <x v="2"/>
  </r>
  <r>
    <s v="TX500810"/>
    <x v="6"/>
    <x v="13"/>
    <n v="63.3"/>
    <n v="379.79999999999995"/>
    <d v="2025-02-04T00:00:00"/>
    <d v="2025-02-05T00:00:00"/>
    <s v=""/>
    <x v="0"/>
    <x v="2"/>
    <x v="0"/>
    <x v="21"/>
    <x v="3"/>
    <x v="5"/>
    <x v="0"/>
  </r>
  <r>
    <s v="TX500811"/>
    <x v="4"/>
    <x v="0"/>
    <n v="46"/>
    <n v="46"/>
    <d v="2025-02-04T00:00:00"/>
    <d v="2025-02-05T00:00:00"/>
    <s v="F"/>
    <x v="0"/>
    <x v="2"/>
    <x v="0"/>
    <x v="21"/>
    <x v="3"/>
    <x v="5"/>
    <x v="2"/>
  </r>
  <r>
    <s v="TX500812"/>
    <x v="11"/>
    <x v="2"/>
    <n v="38"/>
    <n v="114"/>
    <d v="2025-02-04T00:00:00"/>
    <d v="2025-02-06T00:00:00"/>
    <s v="F"/>
    <x v="1"/>
    <x v="2"/>
    <x v="0"/>
    <x v="21"/>
    <x v="1"/>
    <x v="5"/>
    <x v="2"/>
  </r>
  <r>
    <s v="TX500813"/>
    <x v="10"/>
    <x v="15"/>
    <n v="34.6"/>
    <n v="449.8"/>
    <d v="2025-02-04T00:00:00"/>
    <d v="2025-02-06T00:00:00"/>
    <s v="F"/>
    <x v="0"/>
    <x v="1"/>
    <x v="0"/>
    <x v="21"/>
    <x v="1"/>
    <x v="5"/>
    <x v="2"/>
  </r>
  <r>
    <s v="TX500814"/>
    <x v="3"/>
    <x v="7"/>
    <n v="79.7"/>
    <n v="797"/>
    <d v="2025-02-04T00:00:00"/>
    <d v="2025-02-05T00:00:00"/>
    <s v="F"/>
    <x v="4"/>
    <x v="1"/>
    <x v="0"/>
    <x v="21"/>
    <x v="3"/>
    <x v="5"/>
    <x v="2"/>
  </r>
  <r>
    <s v="TX500815"/>
    <x v="8"/>
    <x v="8"/>
    <n v="30.5"/>
    <n v="244"/>
    <d v="2025-02-04T00:00:00"/>
    <d v="2025-02-08T00:00:00"/>
    <s v="M"/>
    <x v="3"/>
    <x v="0"/>
    <x v="0"/>
    <x v="1"/>
    <x v="5"/>
    <x v="5"/>
    <x v="1"/>
  </r>
  <r>
    <s v="TX500816"/>
    <x v="0"/>
    <x v="1"/>
    <n v="20.8"/>
    <n v="41.6"/>
    <d v="2025-02-04T00:00:00"/>
    <d v="2025-02-05T00:00:00"/>
    <s v="F"/>
    <x v="0"/>
    <x v="0"/>
    <x v="0"/>
    <x v="2"/>
    <x v="3"/>
    <x v="5"/>
    <x v="2"/>
  </r>
  <r>
    <s v="TX500817"/>
    <x v="11"/>
    <x v="3"/>
    <n v="48.5"/>
    <n v="339.5"/>
    <d v="2025-02-04T00:00:00"/>
    <d v="2025-02-08T00:00:00"/>
    <s v="F"/>
    <x v="2"/>
    <x v="2"/>
    <x v="0"/>
    <x v="2"/>
    <x v="5"/>
    <x v="5"/>
    <x v="2"/>
  </r>
  <r>
    <s v="TX500818"/>
    <x v="2"/>
    <x v="12"/>
    <n v="61.8"/>
    <n v="247.2"/>
    <d v="2025-02-04T00:00:00"/>
    <d v="2025-02-08T00:00:00"/>
    <s v="F"/>
    <x v="4"/>
    <x v="0"/>
    <x v="0"/>
    <x v="22"/>
    <x v="5"/>
    <x v="5"/>
    <x v="2"/>
  </r>
  <r>
    <s v="TX500819"/>
    <x v="10"/>
    <x v="0"/>
    <n v="46.1"/>
    <n v="46.1"/>
    <d v="2025-02-04T00:00:00"/>
    <d v="2025-02-05T00:00:00"/>
    <s v="O"/>
    <x v="2"/>
    <x v="0"/>
    <x v="0"/>
    <x v="3"/>
    <x v="3"/>
    <x v="5"/>
    <x v="3"/>
  </r>
  <r>
    <s v="TX500820"/>
    <x v="4"/>
    <x v="13"/>
    <n v="44"/>
    <n v="264"/>
    <d v="2025-02-04T00:00:00"/>
    <d v="2025-02-05T00:00:00"/>
    <s v="F"/>
    <x v="0"/>
    <x v="0"/>
    <x v="0"/>
    <x v="3"/>
    <x v="3"/>
    <x v="5"/>
    <x v="2"/>
  </r>
  <r>
    <s v="TX500821"/>
    <x v="18"/>
    <x v="1"/>
    <n v="95.7"/>
    <n v="191.4"/>
    <d v="2025-02-04T00:00:00"/>
    <d v="2025-02-10T00:00:00"/>
    <s v="F"/>
    <x v="3"/>
    <x v="2"/>
    <x v="0"/>
    <x v="3"/>
    <x v="4"/>
    <x v="5"/>
    <x v="2"/>
  </r>
  <r>
    <s v="TX500822"/>
    <x v="7"/>
    <x v="9"/>
    <n v="46.4"/>
    <n v="232"/>
    <d v="2025-02-04T00:00:00"/>
    <d v="2025-02-07T00:00:00"/>
    <s v="F"/>
    <x v="0"/>
    <x v="0"/>
    <x v="0"/>
    <x v="3"/>
    <x v="2"/>
    <x v="5"/>
    <x v="2"/>
  </r>
  <r>
    <s v="TX500823"/>
    <x v="6"/>
    <x v="1"/>
    <n v="47.2"/>
    <n v="94.4"/>
    <d v="2025-02-04T00:00:00"/>
    <d v="2025-02-06T00:00:00"/>
    <s v="F"/>
    <x v="0"/>
    <x v="2"/>
    <x v="0"/>
    <x v="3"/>
    <x v="1"/>
    <x v="5"/>
    <x v="2"/>
  </r>
  <r>
    <s v="TX500824"/>
    <x v="7"/>
    <x v="1"/>
    <n v="58.6"/>
    <n v="117.2"/>
    <d v="2025-02-04T00:00:00"/>
    <d v="2025-02-05T00:00:00"/>
    <s v="F"/>
    <x v="2"/>
    <x v="1"/>
    <x v="0"/>
    <x v="3"/>
    <x v="3"/>
    <x v="5"/>
    <x v="2"/>
  </r>
  <r>
    <s v="TX500825"/>
    <x v="4"/>
    <x v="2"/>
    <n v="57"/>
    <n v="171"/>
    <d v="2025-02-04T00:00:00"/>
    <d v="2025-02-05T00:00:00"/>
    <s v="M"/>
    <x v="0"/>
    <x v="2"/>
    <x v="0"/>
    <x v="3"/>
    <x v="3"/>
    <x v="5"/>
    <x v="1"/>
  </r>
  <r>
    <s v="TX500826"/>
    <x v="8"/>
    <x v="12"/>
    <n v="28.9"/>
    <n v="115.6"/>
    <d v="2025-02-04T00:00:00"/>
    <d v="2025-02-08T00:00:00"/>
    <s v="M"/>
    <x v="2"/>
    <x v="0"/>
    <x v="0"/>
    <x v="3"/>
    <x v="5"/>
    <x v="5"/>
    <x v="1"/>
  </r>
  <r>
    <s v="TX500827"/>
    <x v="12"/>
    <x v="9"/>
    <n v="60.7"/>
    <n v="303.5"/>
    <d v="2025-02-04T00:00:00"/>
    <d v="2025-02-08T00:00:00"/>
    <s v=""/>
    <x v="1"/>
    <x v="1"/>
    <x v="0"/>
    <x v="3"/>
    <x v="5"/>
    <x v="5"/>
    <x v="0"/>
  </r>
  <r>
    <s v="TX500828"/>
    <x v="6"/>
    <x v="9"/>
    <n v="60.8"/>
    <n v="304"/>
    <d v="2025-02-04T00:00:00"/>
    <d v="2025-02-08T00:00:00"/>
    <s v="M"/>
    <x v="0"/>
    <x v="1"/>
    <x v="0"/>
    <x v="3"/>
    <x v="5"/>
    <x v="5"/>
    <x v="1"/>
  </r>
  <r>
    <s v="TX500829"/>
    <x v="6"/>
    <x v="9"/>
    <n v="64.599999999999994"/>
    <n v="323"/>
    <d v="2025-02-04T00:00:00"/>
    <d v="2025-02-05T00:00:00"/>
    <s v="F"/>
    <x v="3"/>
    <x v="0"/>
    <x v="0"/>
    <x v="3"/>
    <x v="3"/>
    <x v="5"/>
    <x v="2"/>
  </r>
  <r>
    <s v="TX500830"/>
    <x v="8"/>
    <x v="0"/>
    <n v="21.9"/>
    <n v="21.9"/>
    <d v="2025-02-04T00:00:00"/>
    <d v="2025-02-07T00:00:00"/>
    <s v="M"/>
    <x v="1"/>
    <x v="2"/>
    <x v="0"/>
    <x v="4"/>
    <x v="2"/>
    <x v="5"/>
    <x v="1"/>
  </r>
  <r>
    <s v="TX500831"/>
    <x v="4"/>
    <x v="4"/>
    <n v="33.4"/>
    <n v="400.79999999999995"/>
    <d v="2025-02-04T00:00:00"/>
    <d v="2025-02-06T00:00:00"/>
    <s v="F"/>
    <x v="0"/>
    <x v="0"/>
    <x v="0"/>
    <x v="23"/>
    <x v="1"/>
    <x v="5"/>
    <x v="2"/>
  </r>
  <r>
    <s v="TX500832"/>
    <x v="2"/>
    <x v="0"/>
    <n v="51.7"/>
    <n v="51.7"/>
    <d v="2025-02-04T00:00:00"/>
    <d v="2025-02-05T00:00:00"/>
    <s v=""/>
    <x v="0"/>
    <x v="0"/>
    <x v="0"/>
    <x v="6"/>
    <x v="3"/>
    <x v="5"/>
    <x v="0"/>
  </r>
  <r>
    <s v="TX500833"/>
    <x v="1"/>
    <x v="12"/>
    <n v="84.9"/>
    <n v="339.6"/>
    <d v="2025-02-04T00:00:00"/>
    <d v="2025-02-05T00:00:00"/>
    <s v="F"/>
    <x v="1"/>
    <x v="1"/>
    <x v="0"/>
    <x v="6"/>
    <x v="3"/>
    <x v="5"/>
    <x v="2"/>
  </r>
  <r>
    <s v="TX500834"/>
    <x v="1"/>
    <x v="5"/>
    <n v="62.3"/>
    <n v="685.3"/>
    <d v="2025-02-04T00:00:00"/>
    <d v="2025-02-05T00:00:00"/>
    <s v="F"/>
    <x v="2"/>
    <x v="2"/>
    <x v="0"/>
    <x v="7"/>
    <x v="3"/>
    <x v="5"/>
    <x v="2"/>
  </r>
  <r>
    <s v="TX500835"/>
    <x v="4"/>
    <x v="0"/>
    <n v="50.7"/>
    <n v="50.7"/>
    <d v="2025-02-04T00:00:00"/>
    <d v="2025-02-06T00:00:00"/>
    <s v="M"/>
    <x v="2"/>
    <x v="2"/>
    <x v="0"/>
    <x v="8"/>
    <x v="1"/>
    <x v="5"/>
    <x v="1"/>
  </r>
  <r>
    <s v="TX500836"/>
    <x v="18"/>
    <x v="0"/>
    <n v="39.5"/>
    <n v="39.5"/>
    <d v="2025-02-04T00:00:00"/>
    <d v="2025-02-05T00:00:00"/>
    <s v="M"/>
    <x v="4"/>
    <x v="1"/>
    <x v="0"/>
    <x v="8"/>
    <x v="3"/>
    <x v="5"/>
    <x v="1"/>
  </r>
  <r>
    <s v="TX500837"/>
    <x v="12"/>
    <x v="2"/>
    <n v="30.9"/>
    <n v="92.699999999999989"/>
    <d v="2025-02-04T00:00:00"/>
    <d v="2025-02-05T00:00:00"/>
    <s v=""/>
    <x v="4"/>
    <x v="2"/>
    <x v="0"/>
    <x v="8"/>
    <x v="3"/>
    <x v="5"/>
    <x v="0"/>
  </r>
  <r>
    <s v="TX500838"/>
    <x v="1"/>
    <x v="3"/>
    <n v="36.4"/>
    <n v="254.79999999999998"/>
    <d v="2025-02-04T00:00:00"/>
    <d v="2025-02-07T00:00:00"/>
    <s v="F"/>
    <x v="0"/>
    <x v="2"/>
    <x v="0"/>
    <x v="8"/>
    <x v="2"/>
    <x v="5"/>
    <x v="2"/>
  </r>
  <r>
    <s v="TX500839"/>
    <x v="6"/>
    <x v="8"/>
    <n v="105.6"/>
    <n v="844.8"/>
    <d v="2025-02-04T00:00:00"/>
    <d v="2025-02-14T00:00:00"/>
    <s v="F"/>
    <x v="0"/>
    <x v="0"/>
    <x v="0"/>
    <x v="8"/>
    <x v="14"/>
    <x v="5"/>
    <x v="2"/>
  </r>
  <r>
    <s v="TX500840"/>
    <x v="8"/>
    <x v="1"/>
    <n v="22.1"/>
    <n v="44.2"/>
    <d v="2025-02-04T00:00:00"/>
    <d v="2025-02-05T00:00:00"/>
    <s v="F"/>
    <x v="0"/>
    <x v="2"/>
    <x v="0"/>
    <x v="17"/>
    <x v="3"/>
    <x v="5"/>
    <x v="2"/>
  </r>
  <r>
    <s v="TX500841"/>
    <x v="0"/>
    <x v="2"/>
    <n v="22.6"/>
    <n v="67.800000000000011"/>
    <d v="2025-02-04T00:00:00"/>
    <d v="2025-02-05T00:00:00"/>
    <s v="F"/>
    <x v="2"/>
    <x v="0"/>
    <x v="0"/>
    <x v="17"/>
    <x v="3"/>
    <x v="5"/>
    <x v="2"/>
  </r>
  <r>
    <s v="TX500842"/>
    <x v="10"/>
    <x v="13"/>
    <n v="26.3"/>
    <n v="157.80000000000001"/>
    <d v="2025-02-04T00:00:00"/>
    <d v="2025-02-04T00:00:00"/>
    <s v="F"/>
    <x v="2"/>
    <x v="0"/>
    <x v="0"/>
    <x v="9"/>
    <x v="7"/>
    <x v="5"/>
    <x v="2"/>
  </r>
  <r>
    <s v="TX500843"/>
    <x v="1"/>
    <x v="12"/>
    <n v="37.799999999999997"/>
    <n v="151.19999999999999"/>
    <d v="2025-02-04T00:00:00"/>
    <d v="2025-02-05T00:00:00"/>
    <s v="F"/>
    <x v="0"/>
    <x v="2"/>
    <x v="0"/>
    <x v="11"/>
    <x v="3"/>
    <x v="5"/>
    <x v="2"/>
  </r>
  <r>
    <s v="TX500844"/>
    <x v="6"/>
    <x v="14"/>
    <n v="96"/>
    <n v="1632"/>
    <d v="2025-02-04T00:00:00"/>
    <d v="2025-02-07T00:00:00"/>
    <s v="F"/>
    <x v="4"/>
    <x v="1"/>
    <x v="0"/>
    <x v="18"/>
    <x v="2"/>
    <x v="5"/>
    <x v="2"/>
  </r>
  <r>
    <s v="TX500845"/>
    <x v="1"/>
    <x v="0"/>
    <n v="83.6"/>
    <n v="83.6"/>
    <d v="2025-02-04T00:00:00"/>
    <d v="2025-02-07T00:00:00"/>
    <s v="F"/>
    <x v="2"/>
    <x v="1"/>
    <x v="0"/>
    <x v="19"/>
    <x v="2"/>
    <x v="5"/>
    <x v="2"/>
  </r>
  <r>
    <s v="TX500846"/>
    <x v="2"/>
    <x v="13"/>
    <n v="72.599999999999994"/>
    <n v="435.59999999999997"/>
    <d v="2025-02-04T00:00:00"/>
    <d v="2025-02-05T00:00:00"/>
    <s v="F"/>
    <x v="0"/>
    <x v="0"/>
    <x v="0"/>
    <x v="21"/>
    <x v="3"/>
    <x v="5"/>
    <x v="2"/>
  </r>
  <r>
    <s v="TX500847"/>
    <x v="5"/>
    <x v="28"/>
    <n v="69.099999999999994"/>
    <n v="1382"/>
    <d v="2025-02-05T00:00:00"/>
    <d v="2025-02-11T00:00:00"/>
    <s v="M"/>
    <x v="0"/>
    <x v="2"/>
    <x v="0"/>
    <x v="21"/>
    <x v="4"/>
    <x v="5"/>
    <x v="1"/>
  </r>
  <r>
    <s v="TX500848"/>
    <x v="4"/>
    <x v="1"/>
    <n v="22.6"/>
    <n v="45.2"/>
    <d v="2025-02-05T00:00:00"/>
    <d v="2025-02-07T00:00:00"/>
    <s v="F"/>
    <x v="1"/>
    <x v="2"/>
    <x v="0"/>
    <x v="21"/>
    <x v="1"/>
    <x v="5"/>
    <x v="2"/>
  </r>
  <r>
    <s v="TX500849"/>
    <x v="6"/>
    <x v="1"/>
    <n v="45.3"/>
    <n v="90.6"/>
    <d v="2025-02-05T00:00:00"/>
    <d v="2025-02-09T00:00:00"/>
    <s v="M"/>
    <x v="4"/>
    <x v="2"/>
    <x v="0"/>
    <x v="21"/>
    <x v="5"/>
    <x v="5"/>
    <x v="1"/>
  </r>
  <r>
    <s v="TX500850"/>
    <x v="2"/>
    <x v="1"/>
    <n v="115.1"/>
    <n v="230.2"/>
    <d v="2025-02-05T00:00:00"/>
    <d v="2025-02-06T00:00:00"/>
    <s v="F"/>
    <x v="1"/>
    <x v="0"/>
    <x v="0"/>
    <x v="1"/>
    <x v="3"/>
    <x v="5"/>
    <x v="2"/>
  </r>
  <r>
    <s v="TX500851"/>
    <x v="18"/>
    <x v="12"/>
    <n v="79"/>
    <n v="316"/>
    <d v="2025-02-05T00:00:00"/>
    <d v="2025-02-07T00:00:00"/>
    <s v="M"/>
    <x v="2"/>
    <x v="4"/>
    <x v="0"/>
    <x v="1"/>
    <x v="1"/>
    <x v="5"/>
    <x v="1"/>
  </r>
  <r>
    <s v="TX500852"/>
    <x v="6"/>
    <x v="9"/>
    <n v="52.8"/>
    <n v="264"/>
    <d v="2025-02-05T00:00:00"/>
    <d v="2025-02-06T00:00:00"/>
    <s v="F"/>
    <x v="0"/>
    <x v="0"/>
    <x v="0"/>
    <x v="42"/>
    <x v="3"/>
    <x v="5"/>
    <x v="2"/>
  </r>
  <r>
    <s v="TX500853"/>
    <x v="8"/>
    <x v="1"/>
    <n v="34.1"/>
    <n v="68.2"/>
    <d v="2025-02-05T00:00:00"/>
    <d v="2025-02-06T00:00:00"/>
    <s v="M"/>
    <x v="3"/>
    <x v="2"/>
    <x v="0"/>
    <x v="44"/>
    <x v="3"/>
    <x v="5"/>
    <x v="1"/>
  </r>
  <r>
    <s v="TX500854"/>
    <x v="6"/>
    <x v="9"/>
    <n v="107.9"/>
    <n v="539.5"/>
    <d v="2025-02-05T00:00:00"/>
    <d v="2025-02-05T00:00:00"/>
    <s v="F"/>
    <x v="0"/>
    <x v="2"/>
    <x v="0"/>
    <x v="50"/>
    <x v="7"/>
    <x v="5"/>
    <x v="2"/>
  </r>
  <r>
    <s v="TX500855"/>
    <x v="8"/>
    <x v="15"/>
    <n v="48.5"/>
    <n v="630.5"/>
    <d v="2025-02-05T00:00:00"/>
    <d v="2025-02-05T00:00:00"/>
    <s v="M"/>
    <x v="2"/>
    <x v="2"/>
    <x v="0"/>
    <x v="3"/>
    <x v="7"/>
    <x v="5"/>
    <x v="1"/>
  </r>
  <r>
    <s v="TX500856"/>
    <x v="5"/>
    <x v="2"/>
    <n v="34.700000000000003"/>
    <n v="104.10000000000001"/>
    <d v="2025-02-05T00:00:00"/>
    <d v="2025-02-06T00:00:00"/>
    <s v=""/>
    <x v="4"/>
    <x v="1"/>
    <x v="0"/>
    <x v="3"/>
    <x v="3"/>
    <x v="5"/>
    <x v="0"/>
  </r>
  <r>
    <s v="TX500857"/>
    <x v="8"/>
    <x v="0"/>
    <n v="16.8"/>
    <n v="16.8"/>
    <d v="2025-02-05T00:00:00"/>
    <d v="2025-02-07T00:00:00"/>
    <s v="F"/>
    <x v="3"/>
    <x v="0"/>
    <x v="0"/>
    <x v="3"/>
    <x v="1"/>
    <x v="5"/>
    <x v="2"/>
  </r>
  <r>
    <s v="TX500858"/>
    <x v="8"/>
    <x v="13"/>
    <n v="18.3"/>
    <n v="109.80000000000001"/>
    <d v="2025-02-05T00:00:00"/>
    <d v="2025-02-08T00:00:00"/>
    <s v="F"/>
    <x v="0"/>
    <x v="0"/>
    <x v="0"/>
    <x v="3"/>
    <x v="2"/>
    <x v="5"/>
    <x v="2"/>
  </r>
  <r>
    <s v="TX500859"/>
    <x v="18"/>
    <x v="2"/>
    <n v="55.9"/>
    <n v="167.7"/>
    <d v="2025-02-05T00:00:00"/>
    <d v="2025-02-11T00:00:00"/>
    <s v="M"/>
    <x v="3"/>
    <x v="1"/>
    <x v="0"/>
    <x v="3"/>
    <x v="4"/>
    <x v="5"/>
    <x v="1"/>
  </r>
  <r>
    <s v="TX500860"/>
    <x v="8"/>
    <x v="2"/>
    <n v="39.200000000000003"/>
    <n v="117.60000000000001"/>
    <d v="2025-02-05T00:00:00"/>
    <d v="2025-02-07T00:00:00"/>
    <s v="F"/>
    <x v="0"/>
    <x v="1"/>
    <x v="0"/>
    <x v="3"/>
    <x v="1"/>
    <x v="5"/>
    <x v="2"/>
  </r>
  <r>
    <s v="TX500861"/>
    <x v="15"/>
    <x v="12"/>
    <n v="66.5"/>
    <n v="266"/>
    <d v="2025-02-05T00:00:00"/>
    <d v="2025-02-07T00:00:00"/>
    <s v=""/>
    <x v="3"/>
    <x v="1"/>
    <x v="0"/>
    <x v="3"/>
    <x v="1"/>
    <x v="5"/>
    <x v="0"/>
  </r>
  <r>
    <s v="TX500862"/>
    <x v="6"/>
    <x v="13"/>
    <n v="52.1"/>
    <n v="312.60000000000002"/>
    <d v="2025-02-05T00:00:00"/>
    <d v="2025-02-07T00:00:00"/>
    <s v="M"/>
    <x v="1"/>
    <x v="1"/>
    <x v="0"/>
    <x v="16"/>
    <x v="1"/>
    <x v="5"/>
    <x v="1"/>
  </r>
  <r>
    <s v="TX500863"/>
    <x v="8"/>
    <x v="1"/>
    <n v="19"/>
    <n v="38"/>
    <d v="2025-02-05T00:00:00"/>
    <d v="2025-02-06T00:00:00"/>
    <s v="M"/>
    <x v="4"/>
    <x v="2"/>
    <x v="0"/>
    <x v="6"/>
    <x v="3"/>
    <x v="5"/>
    <x v="1"/>
  </r>
  <r>
    <s v="TX500864"/>
    <x v="7"/>
    <x v="2"/>
    <n v="84.8"/>
    <n v="254.39999999999998"/>
    <d v="2025-02-05T00:00:00"/>
    <d v="2025-02-07T00:00:00"/>
    <s v="F"/>
    <x v="2"/>
    <x v="0"/>
    <x v="0"/>
    <x v="8"/>
    <x v="1"/>
    <x v="5"/>
    <x v="2"/>
  </r>
  <r>
    <s v="TX500865"/>
    <x v="2"/>
    <x v="12"/>
    <n v="63.9"/>
    <n v="255.6"/>
    <d v="2025-02-05T00:00:00"/>
    <d v="2025-02-08T00:00:00"/>
    <s v="F"/>
    <x v="0"/>
    <x v="0"/>
    <x v="0"/>
    <x v="8"/>
    <x v="2"/>
    <x v="5"/>
    <x v="2"/>
  </r>
  <r>
    <s v="TX500866"/>
    <x v="2"/>
    <x v="2"/>
    <n v="65.5"/>
    <n v="196.5"/>
    <d v="2025-02-05T00:00:00"/>
    <d v="2025-02-05T00:00:00"/>
    <s v="F"/>
    <x v="1"/>
    <x v="1"/>
    <x v="0"/>
    <x v="8"/>
    <x v="7"/>
    <x v="5"/>
    <x v="2"/>
  </r>
  <r>
    <s v="TX500867"/>
    <x v="12"/>
    <x v="1"/>
    <n v="116.2"/>
    <n v="232.4"/>
    <d v="2025-02-05T00:00:00"/>
    <d v="2025-02-11T00:00:00"/>
    <s v="M"/>
    <x v="3"/>
    <x v="0"/>
    <x v="0"/>
    <x v="17"/>
    <x v="4"/>
    <x v="5"/>
    <x v="1"/>
  </r>
  <r>
    <s v="TX500868"/>
    <x v="10"/>
    <x v="12"/>
    <n v="22.9"/>
    <n v="91.6"/>
    <d v="2025-02-05T00:00:00"/>
    <d v="2025-02-07T00:00:00"/>
    <s v="F"/>
    <x v="2"/>
    <x v="1"/>
    <x v="0"/>
    <x v="38"/>
    <x v="1"/>
    <x v="5"/>
    <x v="2"/>
  </r>
  <r>
    <s v="TX500869"/>
    <x v="10"/>
    <x v="2"/>
    <n v="53.7"/>
    <n v="161.10000000000002"/>
    <d v="2025-02-05T00:00:00"/>
    <d v="2025-02-06T00:00:00"/>
    <s v="M"/>
    <x v="0"/>
    <x v="4"/>
    <x v="0"/>
    <x v="18"/>
    <x v="3"/>
    <x v="5"/>
    <x v="1"/>
  </r>
  <r>
    <s v="TX500870"/>
    <x v="6"/>
    <x v="9"/>
    <n v="43.2"/>
    <n v="216"/>
    <d v="2025-02-05T00:00:00"/>
    <d v="2025-02-07T00:00:00"/>
    <s v="F"/>
    <x v="0"/>
    <x v="0"/>
    <x v="0"/>
    <x v="19"/>
    <x v="1"/>
    <x v="5"/>
    <x v="2"/>
  </r>
  <r>
    <s v="TX500871"/>
    <x v="1"/>
    <x v="2"/>
    <n v="84.5"/>
    <n v="253.5"/>
    <d v="2025-02-05T00:00:00"/>
    <d v="2025-02-07T00:00:00"/>
    <s v="M"/>
    <x v="2"/>
    <x v="2"/>
    <x v="0"/>
    <x v="51"/>
    <x v="1"/>
    <x v="5"/>
    <x v="1"/>
  </r>
  <r>
    <s v="TX500872"/>
    <x v="3"/>
    <x v="1"/>
    <n v="42.2"/>
    <n v="84.4"/>
    <d v="2025-02-05T00:00:00"/>
    <d v="2025-02-06T00:00:00"/>
    <s v="F"/>
    <x v="1"/>
    <x v="2"/>
    <x v="0"/>
    <x v="1"/>
    <x v="3"/>
    <x v="5"/>
    <x v="2"/>
  </r>
  <r>
    <s v="TX500873"/>
    <x v="2"/>
    <x v="13"/>
    <n v="94.7"/>
    <n v="568.20000000000005"/>
    <d v="2025-02-05T00:00:00"/>
    <d v="2025-02-08T00:00:00"/>
    <s v="F"/>
    <x v="1"/>
    <x v="2"/>
    <x v="0"/>
    <x v="2"/>
    <x v="2"/>
    <x v="5"/>
    <x v="2"/>
  </r>
  <r>
    <s v="TX500874"/>
    <x v="8"/>
    <x v="16"/>
    <n v="16.7"/>
    <n v="300.59999999999997"/>
    <d v="2025-02-05T00:00:00"/>
    <d v="2025-02-17T00:00:00"/>
    <s v="F"/>
    <x v="0"/>
    <x v="2"/>
    <x v="0"/>
    <x v="2"/>
    <x v="13"/>
    <x v="5"/>
    <x v="2"/>
  </r>
  <r>
    <s v="TX500875"/>
    <x v="2"/>
    <x v="1"/>
    <n v="83.6"/>
    <n v="167.2"/>
    <d v="2025-02-05T00:00:00"/>
    <d v="2025-02-11T00:00:00"/>
    <s v="F"/>
    <x v="1"/>
    <x v="0"/>
    <x v="0"/>
    <x v="3"/>
    <x v="4"/>
    <x v="5"/>
    <x v="2"/>
  </r>
  <r>
    <s v="TX500876"/>
    <x v="7"/>
    <x v="13"/>
    <n v="33.6"/>
    <n v="201.60000000000002"/>
    <d v="2025-02-06T00:00:00"/>
    <d v="2025-02-07T00:00:00"/>
    <s v="F"/>
    <x v="3"/>
    <x v="0"/>
    <x v="0"/>
    <x v="3"/>
    <x v="3"/>
    <x v="5"/>
    <x v="2"/>
  </r>
  <r>
    <s v="TX500877"/>
    <x v="7"/>
    <x v="1"/>
    <n v="64.7"/>
    <n v="129.4"/>
    <d v="2025-02-06T00:00:00"/>
    <d v="2025-02-08T00:00:00"/>
    <s v="M"/>
    <x v="1"/>
    <x v="2"/>
    <x v="0"/>
    <x v="3"/>
    <x v="1"/>
    <x v="5"/>
    <x v="1"/>
  </r>
  <r>
    <s v="TX500878"/>
    <x v="0"/>
    <x v="2"/>
    <n v="15.7"/>
    <n v="47.099999999999994"/>
    <d v="2025-02-06T00:00:00"/>
    <d v="2025-02-12T00:00:00"/>
    <s v="F"/>
    <x v="0"/>
    <x v="0"/>
    <x v="0"/>
    <x v="3"/>
    <x v="4"/>
    <x v="5"/>
    <x v="2"/>
  </r>
  <r>
    <s v="TX500879"/>
    <x v="15"/>
    <x v="13"/>
    <n v="49.4"/>
    <n v="296.39999999999998"/>
    <d v="2025-02-06T00:00:00"/>
    <d v="2025-02-06T00:00:00"/>
    <s v="M"/>
    <x v="1"/>
    <x v="0"/>
    <x v="0"/>
    <x v="3"/>
    <x v="7"/>
    <x v="5"/>
    <x v="1"/>
  </r>
  <r>
    <s v="TX500880"/>
    <x v="10"/>
    <x v="13"/>
    <n v="37"/>
    <n v="222"/>
    <d v="2025-02-06T00:00:00"/>
    <d v="2025-02-09T00:00:00"/>
    <s v="F"/>
    <x v="1"/>
    <x v="2"/>
    <x v="0"/>
    <x v="3"/>
    <x v="2"/>
    <x v="5"/>
    <x v="2"/>
  </r>
  <r>
    <s v="TX500881"/>
    <x v="2"/>
    <x v="1"/>
    <n v="83.7"/>
    <n v="167.4"/>
    <d v="2025-02-06T00:00:00"/>
    <d v="2025-02-08T00:00:00"/>
    <s v="F"/>
    <x v="3"/>
    <x v="2"/>
    <x v="0"/>
    <x v="3"/>
    <x v="1"/>
    <x v="5"/>
    <x v="2"/>
  </r>
  <r>
    <s v="TX500882"/>
    <x v="1"/>
    <x v="9"/>
    <n v="35.1"/>
    <n v="175.5"/>
    <d v="2025-02-06T00:00:00"/>
    <d v="2025-02-07T00:00:00"/>
    <s v="F"/>
    <x v="0"/>
    <x v="0"/>
    <x v="0"/>
    <x v="3"/>
    <x v="3"/>
    <x v="5"/>
    <x v="2"/>
  </r>
  <r>
    <s v="TX500883"/>
    <x v="16"/>
    <x v="8"/>
    <n v="74"/>
    <n v="592"/>
    <d v="2025-02-06T00:00:00"/>
    <d v="2025-02-07T00:00:00"/>
    <s v="F"/>
    <x v="4"/>
    <x v="0"/>
    <x v="0"/>
    <x v="37"/>
    <x v="3"/>
    <x v="5"/>
    <x v="2"/>
  </r>
  <r>
    <s v="TX500884"/>
    <x v="6"/>
    <x v="25"/>
    <n v="55.5"/>
    <n v="1332"/>
    <d v="2025-02-06T00:00:00"/>
    <d v="2025-02-09T00:00:00"/>
    <s v="M"/>
    <x v="3"/>
    <x v="0"/>
    <x v="0"/>
    <x v="49"/>
    <x v="2"/>
    <x v="5"/>
    <x v="1"/>
  </r>
  <r>
    <s v="TX500885"/>
    <x v="11"/>
    <x v="1"/>
    <n v="38.9"/>
    <n v="77.8"/>
    <d v="2025-02-06T00:00:00"/>
    <d v="2025-02-08T00:00:00"/>
    <s v="F"/>
    <x v="1"/>
    <x v="2"/>
    <x v="0"/>
    <x v="25"/>
    <x v="1"/>
    <x v="5"/>
    <x v="2"/>
  </r>
  <r>
    <s v="TX500886"/>
    <x v="16"/>
    <x v="1"/>
    <n v="64.599999999999994"/>
    <n v="129.19999999999999"/>
    <d v="2025-02-06T00:00:00"/>
    <d v="2025-02-13T00:00:00"/>
    <s v="M"/>
    <x v="2"/>
    <x v="1"/>
    <x v="0"/>
    <x v="25"/>
    <x v="6"/>
    <x v="5"/>
    <x v="1"/>
  </r>
  <r>
    <s v="TX500887"/>
    <x v="2"/>
    <x v="2"/>
    <n v="95.3"/>
    <n v="285.89999999999998"/>
    <d v="2025-02-06T00:00:00"/>
    <d v="2025-02-07T00:00:00"/>
    <s v="M"/>
    <x v="0"/>
    <x v="0"/>
    <x v="0"/>
    <x v="5"/>
    <x v="3"/>
    <x v="5"/>
    <x v="1"/>
  </r>
  <r>
    <s v="TX500888"/>
    <x v="13"/>
    <x v="2"/>
    <n v="25.8"/>
    <n v="77.400000000000006"/>
    <d v="2025-02-06T00:00:00"/>
    <d v="2025-02-07T00:00:00"/>
    <s v="F"/>
    <x v="1"/>
    <x v="1"/>
    <x v="0"/>
    <x v="6"/>
    <x v="3"/>
    <x v="5"/>
    <x v="2"/>
  </r>
  <r>
    <s v="TX500889"/>
    <x v="0"/>
    <x v="1"/>
    <n v="11.6"/>
    <n v="23.2"/>
    <d v="2025-02-06T00:00:00"/>
    <d v="2025-02-10T00:00:00"/>
    <s v="F"/>
    <x v="1"/>
    <x v="1"/>
    <x v="0"/>
    <x v="6"/>
    <x v="5"/>
    <x v="5"/>
    <x v="2"/>
  </r>
  <r>
    <s v="TX500890"/>
    <x v="7"/>
    <x v="0"/>
    <n v="52.3"/>
    <n v="52.3"/>
    <d v="2025-02-06T00:00:00"/>
    <d v="2025-02-07T00:00:00"/>
    <s v="F"/>
    <x v="1"/>
    <x v="0"/>
    <x v="0"/>
    <x v="8"/>
    <x v="3"/>
    <x v="5"/>
    <x v="2"/>
  </r>
  <r>
    <s v="TX500891"/>
    <x v="2"/>
    <x v="7"/>
    <n v="112.2"/>
    <n v="1122"/>
    <d v="2025-02-06T00:00:00"/>
    <d v="2025-02-07T00:00:00"/>
    <s v="F"/>
    <x v="1"/>
    <x v="1"/>
    <x v="0"/>
    <x v="8"/>
    <x v="3"/>
    <x v="5"/>
    <x v="2"/>
  </r>
  <r>
    <s v="TX500892"/>
    <x v="4"/>
    <x v="9"/>
    <n v="34.6"/>
    <n v="173"/>
    <d v="2025-02-06T00:00:00"/>
    <d v="2025-02-08T00:00:00"/>
    <s v="M"/>
    <x v="2"/>
    <x v="0"/>
    <x v="0"/>
    <x v="8"/>
    <x v="1"/>
    <x v="5"/>
    <x v="1"/>
  </r>
  <r>
    <s v="TX500893"/>
    <x v="14"/>
    <x v="12"/>
    <n v="20.100000000000001"/>
    <n v="80.400000000000006"/>
    <d v="2025-02-06T00:00:00"/>
    <d v="2025-02-12T00:00:00"/>
    <s v="M"/>
    <x v="1"/>
    <x v="2"/>
    <x v="0"/>
    <x v="8"/>
    <x v="4"/>
    <x v="5"/>
    <x v="1"/>
  </r>
  <r>
    <s v="TX500894"/>
    <x v="2"/>
    <x v="12"/>
    <n v="56.4"/>
    <n v="225.6"/>
    <d v="2025-02-06T00:00:00"/>
    <d v="2025-02-08T00:00:00"/>
    <s v="F"/>
    <x v="2"/>
    <x v="0"/>
    <x v="0"/>
    <x v="10"/>
    <x v="1"/>
    <x v="5"/>
    <x v="2"/>
  </r>
  <r>
    <s v="TX500895"/>
    <x v="13"/>
    <x v="11"/>
    <n v="55.3"/>
    <n v="497.7"/>
    <d v="2025-02-06T00:00:00"/>
    <d v="2025-02-08T00:00:00"/>
    <s v="F"/>
    <x v="1"/>
    <x v="4"/>
    <x v="0"/>
    <x v="11"/>
    <x v="1"/>
    <x v="5"/>
    <x v="2"/>
  </r>
  <r>
    <s v="TX500896"/>
    <x v="2"/>
    <x v="31"/>
    <n v="75.5"/>
    <n v="2114"/>
    <d v="2025-02-06T00:00:00"/>
    <d v="2025-02-07T00:00:00"/>
    <s v="F"/>
    <x v="0"/>
    <x v="0"/>
    <x v="0"/>
    <x v="11"/>
    <x v="3"/>
    <x v="5"/>
    <x v="2"/>
  </r>
  <r>
    <s v="TX500897"/>
    <x v="8"/>
    <x v="0"/>
    <n v="23.6"/>
    <n v="23.6"/>
    <d v="2025-02-06T00:00:00"/>
    <d v="2025-02-11T00:00:00"/>
    <s v="F"/>
    <x v="0"/>
    <x v="0"/>
    <x v="0"/>
    <x v="19"/>
    <x v="0"/>
    <x v="5"/>
    <x v="2"/>
  </r>
  <r>
    <s v="TX500898"/>
    <x v="9"/>
    <x v="1"/>
    <n v="70.7"/>
    <n v="141.4"/>
    <d v="2025-02-06T00:00:00"/>
    <d v="2025-02-08T00:00:00"/>
    <s v="F"/>
    <x v="2"/>
    <x v="0"/>
    <x v="0"/>
    <x v="19"/>
    <x v="1"/>
    <x v="5"/>
    <x v="2"/>
  </r>
  <r>
    <s v="TX500899"/>
    <x v="12"/>
    <x v="1"/>
    <n v="43.2"/>
    <n v="86.4"/>
    <d v="2025-02-06T00:00:00"/>
    <d v="2025-02-07T00:00:00"/>
    <s v="F"/>
    <x v="2"/>
    <x v="0"/>
    <x v="0"/>
    <x v="31"/>
    <x v="3"/>
    <x v="5"/>
    <x v="2"/>
  </r>
  <r>
    <s v="TX500900"/>
    <x v="9"/>
    <x v="11"/>
    <n v="70"/>
    <n v="630"/>
    <d v="2025-02-06T00:00:00"/>
    <d v="2025-02-07T00:00:00"/>
    <s v=""/>
    <x v="1"/>
    <x v="0"/>
    <x v="0"/>
    <x v="52"/>
    <x v="3"/>
    <x v="5"/>
    <x v="0"/>
  </r>
  <r>
    <s v="TX500901"/>
    <x v="0"/>
    <x v="1"/>
    <n v="20.5"/>
    <n v="41"/>
    <d v="2025-02-06T00:00:00"/>
    <d v="2025-02-08T00:00:00"/>
    <s v="F"/>
    <x v="2"/>
    <x v="4"/>
    <x v="0"/>
    <x v="13"/>
    <x v="1"/>
    <x v="5"/>
    <x v="2"/>
  </r>
  <r>
    <s v="TX500902"/>
    <x v="0"/>
    <x v="12"/>
    <n v="29.1"/>
    <n v="116.4"/>
    <d v="2025-02-06T00:00:00"/>
    <d v="2025-02-07T00:00:00"/>
    <s v="F"/>
    <x v="3"/>
    <x v="0"/>
    <x v="0"/>
    <x v="28"/>
    <x v="3"/>
    <x v="5"/>
    <x v="2"/>
  </r>
  <r>
    <s v="TX500903"/>
    <x v="6"/>
    <x v="11"/>
    <n v="53.6"/>
    <n v="482.40000000000003"/>
    <d v="2025-02-06T00:00:00"/>
    <d v="2025-02-07T00:00:00"/>
    <s v="M"/>
    <x v="2"/>
    <x v="1"/>
    <x v="0"/>
    <x v="3"/>
    <x v="3"/>
    <x v="5"/>
    <x v="1"/>
  </r>
  <r>
    <s v="TX500904"/>
    <x v="6"/>
    <x v="9"/>
    <n v="72.3"/>
    <n v="361.5"/>
    <d v="2025-02-06T00:00:00"/>
    <d v="2025-02-08T00:00:00"/>
    <s v="F"/>
    <x v="1"/>
    <x v="0"/>
    <x v="0"/>
    <x v="3"/>
    <x v="1"/>
    <x v="5"/>
    <x v="2"/>
  </r>
  <r>
    <s v="TX500905"/>
    <x v="13"/>
    <x v="12"/>
    <n v="22.6"/>
    <n v="90.4"/>
    <d v="2025-02-06T00:00:00"/>
    <d v="2025-02-09T00:00:00"/>
    <s v="O"/>
    <x v="0"/>
    <x v="1"/>
    <x v="0"/>
    <x v="3"/>
    <x v="2"/>
    <x v="5"/>
    <x v="3"/>
  </r>
  <r>
    <s v="TX500906"/>
    <x v="9"/>
    <x v="1"/>
    <n v="44.2"/>
    <n v="88.4"/>
    <d v="2025-02-06T00:00:00"/>
    <d v="2025-02-10T00:00:00"/>
    <s v=""/>
    <x v="2"/>
    <x v="4"/>
    <x v="0"/>
    <x v="3"/>
    <x v="5"/>
    <x v="5"/>
    <x v="0"/>
  </r>
  <r>
    <s v="TX500907"/>
    <x v="9"/>
    <x v="2"/>
    <n v="94.1"/>
    <n v="282.29999999999995"/>
    <d v="2025-02-06T00:00:00"/>
    <d v="2025-02-19T00:00:00"/>
    <s v="F"/>
    <x v="2"/>
    <x v="2"/>
    <x v="0"/>
    <x v="3"/>
    <x v="10"/>
    <x v="5"/>
    <x v="2"/>
  </r>
  <r>
    <s v="TX500908"/>
    <x v="8"/>
    <x v="2"/>
    <n v="17.899999999999999"/>
    <n v="53.699999999999996"/>
    <d v="2025-02-06T00:00:00"/>
    <d v="2025-02-08T00:00:00"/>
    <s v="M"/>
    <x v="1"/>
    <x v="1"/>
    <x v="0"/>
    <x v="3"/>
    <x v="1"/>
    <x v="5"/>
    <x v="1"/>
  </r>
  <r>
    <s v="TX500909"/>
    <x v="12"/>
    <x v="3"/>
    <n v="52.7"/>
    <n v="368.90000000000003"/>
    <d v="2025-02-06T00:00:00"/>
    <d v="2025-02-07T00:00:00"/>
    <s v="M"/>
    <x v="1"/>
    <x v="1"/>
    <x v="0"/>
    <x v="3"/>
    <x v="3"/>
    <x v="5"/>
    <x v="1"/>
  </r>
  <r>
    <s v="TX500910"/>
    <x v="8"/>
    <x v="0"/>
    <n v="36.799999999999997"/>
    <n v="36.799999999999997"/>
    <d v="2025-02-06T00:00:00"/>
    <d v="2025-02-06T00:00:00"/>
    <s v=""/>
    <x v="0"/>
    <x v="2"/>
    <x v="0"/>
    <x v="3"/>
    <x v="7"/>
    <x v="5"/>
    <x v="0"/>
  </r>
  <r>
    <s v="TX500911"/>
    <x v="4"/>
    <x v="0"/>
    <n v="52.5"/>
    <n v="52.5"/>
    <d v="2025-02-06T00:00:00"/>
    <d v="2025-02-07T00:00:00"/>
    <s v="M"/>
    <x v="0"/>
    <x v="1"/>
    <x v="0"/>
    <x v="6"/>
    <x v="3"/>
    <x v="5"/>
    <x v="1"/>
  </r>
  <r>
    <s v="TX500912"/>
    <x v="2"/>
    <x v="1"/>
    <n v="133.80000000000001"/>
    <n v="267.60000000000002"/>
    <d v="2025-02-06T00:00:00"/>
    <d v="2025-02-08T00:00:00"/>
    <s v="M"/>
    <x v="0"/>
    <x v="1"/>
    <x v="0"/>
    <x v="7"/>
    <x v="1"/>
    <x v="5"/>
    <x v="1"/>
  </r>
  <r>
    <s v="TX500913"/>
    <x v="6"/>
    <x v="1"/>
    <n v="53.2"/>
    <n v="106.4"/>
    <d v="2025-02-06T00:00:00"/>
    <d v="2025-02-08T00:00:00"/>
    <s v="M"/>
    <x v="0"/>
    <x v="0"/>
    <x v="0"/>
    <x v="17"/>
    <x v="1"/>
    <x v="5"/>
    <x v="1"/>
  </r>
  <r>
    <s v="TX500914"/>
    <x v="14"/>
    <x v="13"/>
    <n v="18.7"/>
    <n v="112.19999999999999"/>
    <d v="2025-02-06T00:00:00"/>
    <d v="2025-02-08T00:00:00"/>
    <s v=""/>
    <x v="0"/>
    <x v="1"/>
    <x v="0"/>
    <x v="10"/>
    <x v="1"/>
    <x v="5"/>
    <x v="0"/>
  </r>
  <r>
    <s v="TX500915"/>
    <x v="6"/>
    <x v="12"/>
    <n v="108.8"/>
    <n v="435.2"/>
    <d v="2025-02-06T00:00:00"/>
    <d v="2025-02-07T00:00:00"/>
    <s v="F"/>
    <x v="3"/>
    <x v="2"/>
    <x v="0"/>
    <x v="11"/>
    <x v="3"/>
    <x v="5"/>
    <x v="2"/>
  </r>
  <r>
    <s v="TX500916"/>
    <x v="15"/>
    <x v="9"/>
    <n v="38.5"/>
    <n v="192.5"/>
    <d v="2025-02-06T00:00:00"/>
    <d v="2025-02-10T00:00:00"/>
    <s v="F"/>
    <x v="0"/>
    <x v="1"/>
    <x v="0"/>
    <x v="14"/>
    <x v="5"/>
    <x v="5"/>
    <x v="2"/>
  </r>
  <r>
    <s v="TX500917"/>
    <x v="10"/>
    <x v="7"/>
    <n v="46.5"/>
    <n v="465"/>
    <d v="2025-02-06T00:00:00"/>
    <d v="2025-02-08T00:00:00"/>
    <s v="M"/>
    <x v="2"/>
    <x v="1"/>
    <x v="0"/>
    <x v="2"/>
    <x v="1"/>
    <x v="5"/>
    <x v="1"/>
  </r>
  <r>
    <s v="TX500918"/>
    <x v="2"/>
    <x v="2"/>
    <n v="75.8"/>
    <n v="227.39999999999998"/>
    <d v="2025-02-06T00:00:00"/>
    <d v="2025-02-10T00:00:00"/>
    <s v="F"/>
    <x v="1"/>
    <x v="4"/>
    <x v="0"/>
    <x v="44"/>
    <x v="5"/>
    <x v="5"/>
    <x v="2"/>
  </r>
  <r>
    <s v="TX500919"/>
    <x v="8"/>
    <x v="0"/>
    <n v="20.9"/>
    <n v="20.9"/>
    <d v="2025-02-06T00:00:00"/>
    <d v="2025-02-10T00:00:00"/>
    <s v="M"/>
    <x v="0"/>
    <x v="0"/>
    <x v="0"/>
    <x v="22"/>
    <x v="5"/>
    <x v="5"/>
    <x v="1"/>
  </r>
  <r>
    <s v="TX500920"/>
    <x v="18"/>
    <x v="2"/>
    <n v="47.4"/>
    <n v="142.19999999999999"/>
    <d v="2025-02-06T00:00:00"/>
    <d v="2025-02-09T00:00:00"/>
    <s v="F"/>
    <x v="0"/>
    <x v="0"/>
    <x v="0"/>
    <x v="3"/>
    <x v="2"/>
    <x v="5"/>
    <x v="2"/>
  </r>
  <r>
    <s v="TX500921"/>
    <x v="9"/>
    <x v="1"/>
    <n v="53.8"/>
    <n v="107.6"/>
    <d v="2025-02-06T00:00:00"/>
    <d v="2025-02-07T00:00:00"/>
    <s v=""/>
    <x v="0"/>
    <x v="1"/>
    <x v="0"/>
    <x v="3"/>
    <x v="3"/>
    <x v="5"/>
    <x v="0"/>
  </r>
  <r>
    <s v="TX500922"/>
    <x v="8"/>
    <x v="2"/>
    <n v="24.6"/>
    <n v="73.800000000000011"/>
    <d v="2025-02-06T00:00:00"/>
    <d v="2025-02-08T00:00:00"/>
    <s v="O"/>
    <x v="1"/>
    <x v="2"/>
    <x v="0"/>
    <x v="3"/>
    <x v="1"/>
    <x v="5"/>
    <x v="3"/>
  </r>
  <r>
    <s v="TX500923"/>
    <x v="9"/>
    <x v="2"/>
    <n v="70.900000000000006"/>
    <n v="212.70000000000002"/>
    <d v="2025-02-06T00:00:00"/>
    <d v="2025-02-11T00:00:00"/>
    <s v="F"/>
    <x v="2"/>
    <x v="2"/>
    <x v="0"/>
    <x v="3"/>
    <x v="0"/>
    <x v="5"/>
    <x v="2"/>
  </r>
  <r>
    <s v="TX500924"/>
    <x v="17"/>
    <x v="2"/>
    <n v="31.9"/>
    <n v="95.699999999999989"/>
    <d v="2025-02-06T00:00:00"/>
    <d v="2025-02-08T00:00:00"/>
    <s v="F"/>
    <x v="2"/>
    <x v="2"/>
    <x v="0"/>
    <x v="3"/>
    <x v="1"/>
    <x v="5"/>
    <x v="2"/>
  </r>
  <r>
    <s v="TX500925"/>
    <x v="0"/>
    <x v="1"/>
    <n v="20.399999999999999"/>
    <n v="40.799999999999997"/>
    <d v="2025-02-06T00:00:00"/>
    <d v="2025-02-10T00:00:00"/>
    <s v="M"/>
    <x v="3"/>
    <x v="2"/>
    <x v="0"/>
    <x v="3"/>
    <x v="5"/>
    <x v="5"/>
    <x v="1"/>
  </r>
  <r>
    <s v="TX500926"/>
    <x v="8"/>
    <x v="1"/>
    <n v="18.600000000000001"/>
    <n v="37.200000000000003"/>
    <d v="2025-02-06T00:00:00"/>
    <d v="2025-02-08T00:00:00"/>
    <s v=""/>
    <x v="0"/>
    <x v="1"/>
    <x v="0"/>
    <x v="3"/>
    <x v="1"/>
    <x v="5"/>
    <x v="0"/>
  </r>
  <r>
    <s v="TX500927"/>
    <x v="4"/>
    <x v="9"/>
    <n v="48.3"/>
    <n v="241.5"/>
    <d v="2025-02-06T00:00:00"/>
    <d v="2025-02-08T00:00:00"/>
    <s v="F"/>
    <x v="1"/>
    <x v="0"/>
    <x v="0"/>
    <x v="3"/>
    <x v="1"/>
    <x v="5"/>
    <x v="2"/>
  </r>
  <r>
    <s v="TX500928"/>
    <x v="0"/>
    <x v="12"/>
    <n v="27.7"/>
    <n v="110.8"/>
    <d v="2025-02-06T00:00:00"/>
    <d v="2025-02-08T00:00:00"/>
    <s v="F"/>
    <x v="0"/>
    <x v="0"/>
    <x v="0"/>
    <x v="3"/>
    <x v="1"/>
    <x v="5"/>
    <x v="2"/>
  </r>
  <r>
    <s v="TX500929"/>
    <x v="4"/>
    <x v="9"/>
    <n v="22.5"/>
    <n v="112.5"/>
    <d v="2025-02-06T00:00:00"/>
    <d v="2025-02-08T00:00:00"/>
    <s v="F"/>
    <x v="4"/>
    <x v="2"/>
    <x v="0"/>
    <x v="3"/>
    <x v="1"/>
    <x v="5"/>
    <x v="2"/>
  </r>
  <r>
    <s v="TX500930"/>
    <x v="17"/>
    <x v="9"/>
    <n v="21.6"/>
    <n v="108"/>
    <d v="2025-02-06T00:00:00"/>
    <d v="2025-02-14T00:00:00"/>
    <s v="F"/>
    <x v="0"/>
    <x v="1"/>
    <x v="0"/>
    <x v="3"/>
    <x v="9"/>
    <x v="5"/>
    <x v="2"/>
  </r>
  <r>
    <s v="TX500931"/>
    <x v="10"/>
    <x v="3"/>
    <n v="26.3"/>
    <n v="184.1"/>
    <d v="2025-02-06T00:00:00"/>
    <d v="2025-02-06T00:00:00"/>
    <s v="F"/>
    <x v="2"/>
    <x v="1"/>
    <x v="0"/>
    <x v="3"/>
    <x v="7"/>
    <x v="5"/>
    <x v="2"/>
  </r>
  <r>
    <s v="TX500932"/>
    <x v="6"/>
    <x v="3"/>
    <n v="103"/>
    <n v="721"/>
    <d v="2025-02-07T00:00:00"/>
    <d v="2025-02-08T00:00:00"/>
    <s v="M"/>
    <x v="0"/>
    <x v="2"/>
    <x v="0"/>
    <x v="6"/>
    <x v="3"/>
    <x v="5"/>
    <x v="1"/>
  </r>
  <r>
    <s v="TX500933"/>
    <x v="5"/>
    <x v="20"/>
    <n v="46.6"/>
    <n v="699"/>
    <d v="2025-02-07T00:00:00"/>
    <d v="2025-02-08T00:00:00"/>
    <s v="F"/>
    <x v="0"/>
    <x v="1"/>
    <x v="0"/>
    <x v="6"/>
    <x v="3"/>
    <x v="5"/>
    <x v="2"/>
  </r>
  <r>
    <s v="TX500934"/>
    <x v="0"/>
    <x v="9"/>
    <n v="32.200000000000003"/>
    <n v="161"/>
    <d v="2025-02-07T00:00:00"/>
    <d v="2025-02-10T00:00:00"/>
    <s v="F"/>
    <x v="0"/>
    <x v="2"/>
    <x v="0"/>
    <x v="36"/>
    <x v="2"/>
    <x v="5"/>
    <x v="2"/>
  </r>
  <r>
    <s v="TX500935"/>
    <x v="8"/>
    <x v="2"/>
    <n v="22"/>
    <n v="66"/>
    <d v="2025-02-07T00:00:00"/>
    <d v="2025-02-14T00:00:00"/>
    <s v="M"/>
    <x v="1"/>
    <x v="0"/>
    <x v="0"/>
    <x v="7"/>
    <x v="6"/>
    <x v="5"/>
    <x v="1"/>
  </r>
  <r>
    <s v="TX500936"/>
    <x v="0"/>
    <x v="1"/>
    <n v="25.2"/>
    <n v="50.4"/>
    <d v="2025-02-07T00:00:00"/>
    <d v="2025-02-11T00:00:00"/>
    <s v="F"/>
    <x v="0"/>
    <x v="0"/>
    <x v="0"/>
    <x v="7"/>
    <x v="5"/>
    <x v="5"/>
    <x v="2"/>
  </r>
  <r>
    <s v="TX500937"/>
    <x v="1"/>
    <x v="13"/>
    <n v="68.7"/>
    <n v="412.20000000000005"/>
    <d v="2025-02-07T00:00:00"/>
    <d v="2025-02-09T00:00:00"/>
    <s v="M"/>
    <x v="4"/>
    <x v="0"/>
    <x v="0"/>
    <x v="8"/>
    <x v="1"/>
    <x v="5"/>
    <x v="1"/>
  </r>
  <r>
    <s v="TX500938"/>
    <x v="0"/>
    <x v="2"/>
    <n v="22.2"/>
    <n v="66.599999999999994"/>
    <d v="2025-02-07T00:00:00"/>
    <d v="2025-02-10T00:00:00"/>
    <s v="M"/>
    <x v="2"/>
    <x v="2"/>
    <x v="0"/>
    <x v="8"/>
    <x v="2"/>
    <x v="5"/>
    <x v="1"/>
  </r>
  <r>
    <s v="TX500939"/>
    <x v="1"/>
    <x v="3"/>
    <n v="36"/>
    <n v="252"/>
    <d v="2025-02-07T00:00:00"/>
    <d v="2025-02-08T00:00:00"/>
    <s v="F"/>
    <x v="1"/>
    <x v="0"/>
    <x v="0"/>
    <x v="8"/>
    <x v="3"/>
    <x v="5"/>
    <x v="2"/>
  </r>
  <r>
    <s v="TX500940"/>
    <x v="18"/>
    <x v="0"/>
    <n v="50.6"/>
    <n v="50.6"/>
    <d v="2025-02-07T00:00:00"/>
    <d v="2025-02-09T00:00:00"/>
    <s v="F"/>
    <x v="0"/>
    <x v="1"/>
    <x v="0"/>
    <x v="8"/>
    <x v="1"/>
    <x v="5"/>
    <x v="2"/>
  </r>
  <r>
    <s v="TX500941"/>
    <x v="15"/>
    <x v="1"/>
    <n v="44.9"/>
    <n v="89.8"/>
    <d v="2025-02-07T00:00:00"/>
    <d v="2025-02-09T00:00:00"/>
    <s v="M"/>
    <x v="0"/>
    <x v="1"/>
    <x v="0"/>
    <x v="8"/>
    <x v="1"/>
    <x v="5"/>
    <x v="1"/>
  </r>
  <r>
    <s v="TX500942"/>
    <x v="6"/>
    <x v="2"/>
    <n v="71.599999999999994"/>
    <n v="214.79999999999998"/>
    <d v="2025-02-07T00:00:00"/>
    <d v="2025-02-11T00:00:00"/>
    <s v="M"/>
    <x v="1"/>
    <x v="2"/>
    <x v="0"/>
    <x v="10"/>
    <x v="5"/>
    <x v="5"/>
    <x v="1"/>
  </r>
  <r>
    <s v="TX500943"/>
    <x v="6"/>
    <x v="13"/>
    <n v="51.5"/>
    <n v="309"/>
    <d v="2025-02-07T00:00:00"/>
    <d v="2025-02-09T00:00:00"/>
    <s v=""/>
    <x v="4"/>
    <x v="0"/>
    <x v="0"/>
    <x v="11"/>
    <x v="1"/>
    <x v="5"/>
    <x v="0"/>
  </r>
  <r>
    <s v="TX500944"/>
    <x v="7"/>
    <x v="9"/>
    <n v="55.5"/>
    <n v="277.5"/>
    <d v="2025-02-07T00:00:00"/>
    <d v="2025-02-08T00:00:00"/>
    <s v="M"/>
    <x v="1"/>
    <x v="1"/>
    <x v="0"/>
    <x v="11"/>
    <x v="3"/>
    <x v="5"/>
    <x v="1"/>
  </r>
  <r>
    <s v="TX500945"/>
    <x v="6"/>
    <x v="0"/>
    <n v="51.7"/>
    <n v="51.7"/>
    <d v="2025-02-07T00:00:00"/>
    <d v="2025-02-21T00:00:00"/>
    <s v="M"/>
    <x v="2"/>
    <x v="0"/>
    <x v="0"/>
    <x v="19"/>
    <x v="12"/>
    <x v="5"/>
    <x v="1"/>
  </r>
  <r>
    <s v="TX500946"/>
    <x v="8"/>
    <x v="38"/>
    <n v="45.5"/>
    <n v="955.5"/>
    <d v="2025-02-07T00:00:00"/>
    <d v="2025-02-08T00:00:00"/>
    <s v="F"/>
    <x v="3"/>
    <x v="2"/>
    <x v="0"/>
    <x v="19"/>
    <x v="3"/>
    <x v="5"/>
    <x v="2"/>
  </r>
  <r>
    <s v="TX500947"/>
    <x v="8"/>
    <x v="1"/>
    <n v="33.799999999999997"/>
    <n v="67.599999999999994"/>
    <d v="2025-02-07T00:00:00"/>
    <d v="2025-02-13T00:00:00"/>
    <s v="F"/>
    <x v="3"/>
    <x v="0"/>
    <x v="0"/>
    <x v="20"/>
    <x v="4"/>
    <x v="5"/>
    <x v="2"/>
  </r>
  <r>
    <s v="TX500948"/>
    <x v="3"/>
    <x v="2"/>
    <n v="76.5"/>
    <n v="229.5"/>
    <d v="2025-02-07T00:00:00"/>
    <d v="2025-02-08T00:00:00"/>
    <s v="F"/>
    <x v="0"/>
    <x v="1"/>
    <x v="0"/>
    <x v="21"/>
    <x v="3"/>
    <x v="5"/>
    <x v="2"/>
  </r>
  <r>
    <s v="TX500949"/>
    <x v="9"/>
    <x v="2"/>
    <n v="42.6"/>
    <n v="127.80000000000001"/>
    <d v="2025-02-07T00:00:00"/>
    <d v="2025-02-13T00:00:00"/>
    <s v="F"/>
    <x v="2"/>
    <x v="2"/>
    <x v="0"/>
    <x v="2"/>
    <x v="4"/>
    <x v="5"/>
    <x v="2"/>
  </r>
  <r>
    <s v="TX500950"/>
    <x v="6"/>
    <x v="2"/>
    <n v="44.1"/>
    <n v="132.30000000000001"/>
    <d v="2025-02-07T00:00:00"/>
    <d v="2025-02-09T00:00:00"/>
    <s v="F"/>
    <x v="1"/>
    <x v="1"/>
    <x v="0"/>
    <x v="22"/>
    <x v="1"/>
    <x v="5"/>
    <x v="2"/>
  </r>
  <r>
    <s v="TX500951"/>
    <x v="8"/>
    <x v="1"/>
    <n v="40.9"/>
    <n v="81.8"/>
    <d v="2025-02-07T00:00:00"/>
    <d v="2025-02-11T00:00:00"/>
    <s v="M"/>
    <x v="0"/>
    <x v="0"/>
    <x v="0"/>
    <x v="3"/>
    <x v="5"/>
    <x v="5"/>
    <x v="1"/>
  </r>
  <r>
    <s v="TX500952"/>
    <x v="9"/>
    <x v="2"/>
    <n v="49.1"/>
    <n v="147.30000000000001"/>
    <d v="2025-02-07T00:00:00"/>
    <d v="2025-02-11T00:00:00"/>
    <s v="F"/>
    <x v="3"/>
    <x v="1"/>
    <x v="0"/>
    <x v="3"/>
    <x v="5"/>
    <x v="5"/>
    <x v="2"/>
  </r>
  <r>
    <s v="TX500953"/>
    <x v="18"/>
    <x v="0"/>
    <n v="85.3"/>
    <n v="85.3"/>
    <d v="2025-02-07T00:00:00"/>
    <d v="2025-02-11T00:00:00"/>
    <s v="M"/>
    <x v="1"/>
    <x v="1"/>
    <x v="0"/>
    <x v="3"/>
    <x v="5"/>
    <x v="5"/>
    <x v="1"/>
  </r>
  <r>
    <s v="TX500954"/>
    <x v="6"/>
    <x v="12"/>
    <n v="43.1"/>
    <n v="172.4"/>
    <d v="2025-02-08T00:00:00"/>
    <d v="2025-02-11T00:00:00"/>
    <s v="M"/>
    <x v="0"/>
    <x v="0"/>
    <x v="0"/>
    <x v="3"/>
    <x v="2"/>
    <x v="5"/>
    <x v="1"/>
  </r>
  <r>
    <s v="TX500955"/>
    <x v="4"/>
    <x v="12"/>
    <n v="46.2"/>
    <n v="184.8"/>
    <d v="2025-02-08T00:00:00"/>
    <d v="2025-02-09T00:00:00"/>
    <s v="M"/>
    <x v="2"/>
    <x v="0"/>
    <x v="0"/>
    <x v="3"/>
    <x v="3"/>
    <x v="5"/>
    <x v="1"/>
  </r>
  <r>
    <s v="TX500956"/>
    <x v="1"/>
    <x v="0"/>
    <n v="74.400000000000006"/>
    <n v="74.400000000000006"/>
    <d v="2025-02-08T00:00:00"/>
    <d v="2025-02-10T00:00:00"/>
    <s v="M"/>
    <x v="4"/>
    <x v="2"/>
    <x v="0"/>
    <x v="3"/>
    <x v="1"/>
    <x v="5"/>
    <x v="1"/>
  </r>
  <r>
    <s v="TX500957"/>
    <x v="17"/>
    <x v="1"/>
    <n v="51.2"/>
    <n v="102.4"/>
    <d v="2025-02-08T00:00:00"/>
    <d v="2025-02-09T00:00:00"/>
    <s v="M"/>
    <x v="1"/>
    <x v="0"/>
    <x v="0"/>
    <x v="3"/>
    <x v="3"/>
    <x v="5"/>
    <x v="1"/>
  </r>
  <r>
    <s v="TX500958"/>
    <x v="14"/>
    <x v="12"/>
    <n v="11.8"/>
    <n v="47.2"/>
    <d v="2025-02-08T00:00:00"/>
    <d v="2025-02-08T00:00:00"/>
    <s v="M"/>
    <x v="2"/>
    <x v="0"/>
    <x v="0"/>
    <x v="3"/>
    <x v="7"/>
    <x v="5"/>
    <x v="1"/>
  </r>
  <r>
    <s v="TX500959"/>
    <x v="10"/>
    <x v="6"/>
    <n v="40.799999999999997"/>
    <n v="1101.5999999999999"/>
    <d v="2025-02-08T00:00:00"/>
    <d v="2025-02-09T00:00:00"/>
    <s v="F"/>
    <x v="3"/>
    <x v="2"/>
    <x v="0"/>
    <x v="3"/>
    <x v="3"/>
    <x v="5"/>
    <x v="2"/>
  </r>
  <r>
    <s v="TX500960"/>
    <x v="8"/>
    <x v="0"/>
    <n v="24.7"/>
    <n v="24.7"/>
    <d v="2025-02-08T00:00:00"/>
    <d v="2025-02-10T00:00:00"/>
    <s v="F"/>
    <x v="2"/>
    <x v="1"/>
    <x v="0"/>
    <x v="3"/>
    <x v="1"/>
    <x v="5"/>
    <x v="2"/>
  </r>
  <r>
    <s v="TX500961"/>
    <x v="8"/>
    <x v="3"/>
    <n v="22.1"/>
    <n v="154.70000000000002"/>
    <d v="2025-02-08T00:00:00"/>
    <d v="2025-02-08T00:00:00"/>
    <s v="F"/>
    <x v="2"/>
    <x v="4"/>
    <x v="0"/>
    <x v="3"/>
    <x v="7"/>
    <x v="5"/>
    <x v="2"/>
  </r>
  <r>
    <s v="TX500962"/>
    <x v="8"/>
    <x v="0"/>
    <n v="18.100000000000001"/>
    <n v="18.100000000000001"/>
    <d v="2025-02-08T00:00:00"/>
    <d v="2025-02-12T00:00:00"/>
    <s v="M"/>
    <x v="3"/>
    <x v="2"/>
    <x v="0"/>
    <x v="3"/>
    <x v="5"/>
    <x v="5"/>
    <x v="1"/>
  </r>
  <r>
    <s v="TX500963"/>
    <x v="17"/>
    <x v="1"/>
    <n v="58.8"/>
    <n v="117.6"/>
    <d v="2025-02-08T00:00:00"/>
    <d v="2025-02-11T00:00:00"/>
    <s v="F"/>
    <x v="0"/>
    <x v="0"/>
    <x v="0"/>
    <x v="25"/>
    <x v="2"/>
    <x v="5"/>
    <x v="2"/>
  </r>
  <r>
    <s v="TX500964"/>
    <x v="18"/>
    <x v="1"/>
    <n v="30.8"/>
    <n v="61.6"/>
    <d v="2025-02-08T00:00:00"/>
    <d v="2025-02-09T00:00:00"/>
    <s v="F"/>
    <x v="0"/>
    <x v="0"/>
    <x v="0"/>
    <x v="6"/>
    <x v="3"/>
    <x v="5"/>
    <x v="2"/>
  </r>
  <r>
    <s v="TX500965"/>
    <x v="0"/>
    <x v="1"/>
    <n v="12"/>
    <n v="24"/>
    <d v="2025-02-08T00:00:00"/>
    <d v="2025-02-12T00:00:00"/>
    <s v="F"/>
    <x v="0"/>
    <x v="0"/>
    <x v="0"/>
    <x v="6"/>
    <x v="5"/>
    <x v="5"/>
    <x v="2"/>
  </r>
  <r>
    <s v="TX500966"/>
    <x v="0"/>
    <x v="12"/>
    <n v="13.6"/>
    <n v="54.4"/>
    <d v="2025-02-08T00:00:00"/>
    <d v="2025-02-11T00:00:00"/>
    <s v="M"/>
    <x v="2"/>
    <x v="0"/>
    <x v="0"/>
    <x v="6"/>
    <x v="2"/>
    <x v="5"/>
    <x v="1"/>
  </r>
  <r>
    <s v="TX500967"/>
    <x v="0"/>
    <x v="0"/>
    <n v="17.899999999999999"/>
    <n v="17.899999999999999"/>
    <d v="2025-02-08T00:00:00"/>
    <d v="2025-02-09T00:00:00"/>
    <s v="M"/>
    <x v="3"/>
    <x v="0"/>
    <x v="0"/>
    <x v="6"/>
    <x v="3"/>
    <x v="5"/>
    <x v="1"/>
  </r>
  <r>
    <s v="TX500968"/>
    <x v="9"/>
    <x v="1"/>
    <n v="38.6"/>
    <n v="77.2"/>
    <d v="2025-02-08T00:00:00"/>
    <d v="2025-02-12T00:00:00"/>
    <s v="F"/>
    <x v="4"/>
    <x v="0"/>
    <x v="0"/>
    <x v="7"/>
    <x v="5"/>
    <x v="5"/>
    <x v="2"/>
  </r>
  <r>
    <s v="TX500969"/>
    <x v="5"/>
    <x v="9"/>
    <n v="32.700000000000003"/>
    <n v="163.5"/>
    <d v="2025-02-08T00:00:00"/>
    <d v="2025-02-09T00:00:00"/>
    <s v="M"/>
    <x v="2"/>
    <x v="2"/>
    <x v="0"/>
    <x v="8"/>
    <x v="3"/>
    <x v="5"/>
    <x v="1"/>
  </r>
  <r>
    <s v="TX500970"/>
    <x v="3"/>
    <x v="1"/>
    <n v="111.4"/>
    <n v="222.8"/>
    <d v="2025-02-08T00:00:00"/>
    <d v="2025-02-09T00:00:00"/>
    <s v="F"/>
    <x v="1"/>
    <x v="0"/>
    <x v="0"/>
    <x v="8"/>
    <x v="3"/>
    <x v="5"/>
    <x v="2"/>
  </r>
  <r>
    <s v="TX500971"/>
    <x v="2"/>
    <x v="13"/>
    <n v="80.3"/>
    <n v="481.79999999999995"/>
    <d v="2025-02-08T00:00:00"/>
    <d v="2025-02-10T00:00:00"/>
    <s v="F"/>
    <x v="1"/>
    <x v="0"/>
    <x v="0"/>
    <x v="8"/>
    <x v="1"/>
    <x v="5"/>
    <x v="2"/>
  </r>
  <r>
    <s v="TX500972"/>
    <x v="6"/>
    <x v="1"/>
    <n v="58.9"/>
    <n v="117.8"/>
    <d v="2025-02-08T00:00:00"/>
    <d v="2025-02-09T00:00:00"/>
    <s v="M"/>
    <x v="1"/>
    <x v="0"/>
    <x v="0"/>
    <x v="8"/>
    <x v="3"/>
    <x v="5"/>
    <x v="1"/>
  </r>
  <r>
    <s v="TX500973"/>
    <x v="6"/>
    <x v="2"/>
    <n v="51.9"/>
    <n v="155.69999999999999"/>
    <d v="2025-02-08T00:00:00"/>
    <d v="2025-02-10T00:00:00"/>
    <s v="F"/>
    <x v="1"/>
    <x v="4"/>
    <x v="0"/>
    <x v="8"/>
    <x v="1"/>
    <x v="5"/>
    <x v="2"/>
  </r>
  <r>
    <s v="TX500974"/>
    <x v="2"/>
    <x v="2"/>
    <n v="50.3"/>
    <n v="150.89999999999998"/>
    <d v="2025-02-08T00:00:00"/>
    <d v="2025-02-09T00:00:00"/>
    <s v="M"/>
    <x v="2"/>
    <x v="0"/>
    <x v="0"/>
    <x v="17"/>
    <x v="3"/>
    <x v="5"/>
    <x v="1"/>
  </r>
  <r>
    <s v="TX500975"/>
    <x v="11"/>
    <x v="13"/>
    <n v="45"/>
    <n v="270"/>
    <d v="2025-02-08T00:00:00"/>
    <d v="2025-02-14T00:00:00"/>
    <s v="F"/>
    <x v="3"/>
    <x v="0"/>
    <x v="0"/>
    <x v="9"/>
    <x v="4"/>
    <x v="5"/>
    <x v="2"/>
  </r>
  <r>
    <s v="TX500976"/>
    <x v="10"/>
    <x v="13"/>
    <n v="44.7"/>
    <n v="268.20000000000005"/>
    <d v="2025-02-08T00:00:00"/>
    <d v="2025-02-10T00:00:00"/>
    <s v="F"/>
    <x v="2"/>
    <x v="0"/>
    <x v="0"/>
    <x v="11"/>
    <x v="1"/>
    <x v="5"/>
    <x v="2"/>
  </r>
  <r>
    <s v="TX500977"/>
    <x v="18"/>
    <x v="20"/>
    <n v="33"/>
    <n v="495"/>
    <d v="2025-02-08T00:00:00"/>
    <d v="2025-02-09T00:00:00"/>
    <s v="F"/>
    <x v="2"/>
    <x v="0"/>
    <x v="0"/>
    <x v="11"/>
    <x v="3"/>
    <x v="5"/>
    <x v="2"/>
  </r>
  <r>
    <s v="TX500978"/>
    <x v="1"/>
    <x v="9"/>
    <n v="44.9"/>
    <n v="224.5"/>
    <d v="2025-02-08T00:00:00"/>
    <d v="2025-02-11T00:00:00"/>
    <s v="F"/>
    <x v="2"/>
    <x v="2"/>
    <x v="0"/>
    <x v="18"/>
    <x v="2"/>
    <x v="5"/>
    <x v="2"/>
  </r>
  <r>
    <s v="TX500979"/>
    <x v="10"/>
    <x v="1"/>
    <n v="34.6"/>
    <n v="69.2"/>
    <d v="2025-02-08T00:00:00"/>
    <d v="2025-02-12T00:00:00"/>
    <s v="F"/>
    <x v="0"/>
    <x v="1"/>
    <x v="0"/>
    <x v="19"/>
    <x v="5"/>
    <x v="5"/>
    <x v="2"/>
  </r>
  <r>
    <s v="TX500980"/>
    <x v="7"/>
    <x v="3"/>
    <n v="47.1"/>
    <n v="329.7"/>
    <d v="2025-02-08T00:00:00"/>
    <d v="2025-02-13T00:00:00"/>
    <s v="F"/>
    <x v="0"/>
    <x v="0"/>
    <x v="0"/>
    <x v="13"/>
    <x v="0"/>
    <x v="5"/>
    <x v="2"/>
  </r>
  <r>
    <s v="TX500981"/>
    <x v="4"/>
    <x v="9"/>
    <n v="26.1"/>
    <n v="130.5"/>
    <d v="2025-02-08T00:00:00"/>
    <d v="2025-02-13T00:00:00"/>
    <s v="M"/>
    <x v="0"/>
    <x v="2"/>
    <x v="0"/>
    <x v="21"/>
    <x v="0"/>
    <x v="5"/>
    <x v="1"/>
  </r>
  <r>
    <s v="TX500982"/>
    <x v="12"/>
    <x v="9"/>
    <n v="66.8"/>
    <n v="334"/>
    <d v="2025-02-08T00:00:00"/>
    <d v="2025-02-11T00:00:00"/>
    <s v="F"/>
    <x v="0"/>
    <x v="0"/>
    <x v="0"/>
    <x v="21"/>
    <x v="2"/>
    <x v="5"/>
    <x v="2"/>
  </r>
  <r>
    <s v="TX500983"/>
    <x v="2"/>
    <x v="1"/>
    <n v="167.9"/>
    <n v="335.8"/>
    <d v="2025-02-08T00:00:00"/>
    <d v="2025-02-09T00:00:00"/>
    <s v="F"/>
    <x v="3"/>
    <x v="2"/>
    <x v="0"/>
    <x v="21"/>
    <x v="3"/>
    <x v="5"/>
    <x v="2"/>
  </r>
  <r>
    <s v="TX500984"/>
    <x v="10"/>
    <x v="11"/>
    <n v="34.6"/>
    <n v="311.40000000000003"/>
    <d v="2025-02-08T00:00:00"/>
    <d v="2025-02-09T00:00:00"/>
    <s v="F"/>
    <x v="2"/>
    <x v="1"/>
    <x v="0"/>
    <x v="21"/>
    <x v="3"/>
    <x v="5"/>
    <x v="2"/>
  </r>
  <r>
    <s v="TX500985"/>
    <x v="8"/>
    <x v="2"/>
    <n v="35.1"/>
    <n v="105.30000000000001"/>
    <d v="2025-02-09T00:00:00"/>
    <d v="2025-02-13T00:00:00"/>
    <s v="M"/>
    <x v="4"/>
    <x v="2"/>
    <x v="0"/>
    <x v="1"/>
    <x v="5"/>
    <x v="6"/>
    <x v="1"/>
  </r>
  <r>
    <s v="TX500986"/>
    <x v="6"/>
    <x v="12"/>
    <n v="104.5"/>
    <n v="418"/>
    <d v="2025-02-09T00:00:00"/>
    <d v="2025-02-10T00:00:00"/>
    <s v="M"/>
    <x v="1"/>
    <x v="1"/>
    <x v="0"/>
    <x v="1"/>
    <x v="3"/>
    <x v="6"/>
    <x v="1"/>
  </r>
  <r>
    <s v="TX500987"/>
    <x v="8"/>
    <x v="0"/>
    <n v="37.9"/>
    <n v="37.9"/>
    <d v="2025-02-09T00:00:00"/>
    <d v="2025-02-11T00:00:00"/>
    <s v=""/>
    <x v="1"/>
    <x v="2"/>
    <x v="0"/>
    <x v="2"/>
    <x v="1"/>
    <x v="6"/>
    <x v="0"/>
  </r>
  <r>
    <s v="TX500988"/>
    <x v="4"/>
    <x v="2"/>
    <n v="25.5"/>
    <n v="76.5"/>
    <d v="2025-02-09T00:00:00"/>
    <d v="2025-02-12T00:00:00"/>
    <s v="M"/>
    <x v="3"/>
    <x v="0"/>
    <x v="0"/>
    <x v="2"/>
    <x v="2"/>
    <x v="6"/>
    <x v="1"/>
  </r>
  <r>
    <s v="TX500989"/>
    <x v="0"/>
    <x v="2"/>
    <n v="32"/>
    <n v="96"/>
    <d v="2025-02-09T00:00:00"/>
    <d v="2025-02-13T00:00:00"/>
    <s v="F"/>
    <x v="1"/>
    <x v="0"/>
    <x v="0"/>
    <x v="22"/>
    <x v="5"/>
    <x v="6"/>
    <x v="2"/>
  </r>
  <r>
    <s v="TX500990"/>
    <x v="1"/>
    <x v="0"/>
    <n v="47.1"/>
    <n v="47.1"/>
    <d v="2025-02-09T00:00:00"/>
    <d v="2025-02-10T00:00:00"/>
    <s v="F"/>
    <x v="0"/>
    <x v="0"/>
    <x v="0"/>
    <x v="34"/>
    <x v="3"/>
    <x v="6"/>
    <x v="2"/>
  </r>
  <r>
    <s v="TX500991"/>
    <x v="6"/>
    <x v="1"/>
    <n v="50.6"/>
    <n v="101.2"/>
    <d v="2025-02-09T00:00:00"/>
    <d v="2025-02-15T00:00:00"/>
    <s v=""/>
    <x v="0"/>
    <x v="0"/>
    <x v="0"/>
    <x v="3"/>
    <x v="4"/>
    <x v="6"/>
    <x v="0"/>
  </r>
  <r>
    <s v="TX500992"/>
    <x v="6"/>
    <x v="9"/>
    <n v="81.7"/>
    <n v="408.5"/>
    <d v="2025-02-09T00:00:00"/>
    <d v="2025-02-10T00:00:00"/>
    <s v="F"/>
    <x v="1"/>
    <x v="2"/>
    <x v="0"/>
    <x v="3"/>
    <x v="3"/>
    <x v="6"/>
    <x v="2"/>
  </r>
  <r>
    <s v="TX500993"/>
    <x v="5"/>
    <x v="1"/>
    <n v="50.7"/>
    <n v="101.4"/>
    <d v="2025-02-09T00:00:00"/>
    <d v="2025-02-10T00:00:00"/>
    <s v="O"/>
    <x v="2"/>
    <x v="2"/>
    <x v="0"/>
    <x v="3"/>
    <x v="3"/>
    <x v="6"/>
    <x v="3"/>
  </r>
  <r>
    <s v="TX500994"/>
    <x v="2"/>
    <x v="10"/>
    <n v="67.3"/>
    <n v="1278.7"/>
    <d v="2025-02-09T00:00:00"/>
    <d v="2025-02-13T00:00:00"/>
    <s v="F"/>
    <x v="2"/>
    <x v="0"/>
    <x v="0"/>
    <x v="3"/>
    <x v="5"/>
    <x v="6"/>
    <x v="2"/>
  </r>
  <r>
    <s v="TX500995"/>
    <x v="2"/>
    <x v="12"/>
    <n v="64.8"/>
    <n v="259.2"/>
    <d v="2025-02-09T00:00:00"/>
    <d v="2025-02-12T00:00:00"/>
    <s v="F"/>
    <x v="3"/>
    <x v="0"/>
    <x v="0"/>
    <x v="3"/>
    <x v="2"/>
    <x v="6"/>
    <x v="2"/>
  </r>
  <r>
    <s v="TX500996"/>
    <x v="5"/>
    <x v="32"/>
    <n v="61.3"/>
    <n v="1348.6"/>
    <d v="2025-02-09T00:00:00"/>
    <d v="2025-02-10T00:00:00"/>
    <s v="F"/>
    <x v="0"/>
    <x v="2"/>
    <x v="0"/>
    <x v="3"/>
    <x v="3"/>
    <x v="6"/>
    <x v="2"/>
  </r>
  <r>
    <s v="TX500997"/>
    <x v="14"/>
    <x v="0"/>
    <n v="32.9"/>
    <n v="32.9"/>
    <d v="2025-02-09T00:00:00"/>
    <d v="2025-02-12T00:00:00"/>
    <s v="F"/>
    <x v="4"/>
    <x v="0"/>
    <x v="0"/>
    <x v="3"/>
    <x v="2"/>
    <x v="6"/>
    <x v="2"/>
  </r>
  <r>
    <s v="TX500998"/>
    <x v="6"/>
    <x v="1"/>
    <n v="100.8"/>
    <n v="201.6"/>
    <d v="2025-02-09T00:00:00"/>
    <d v="2025-02-12T00:00:00"/>
    <s v="F"/>
    <x v="0"/>
    <x v="0"/>
    <x v="0"/>
    <x v="3"/>
    <x v="2"/>
    <x v="6"/>
    <x v="2"/>
  </r>
  <r>
    <s v="TX500999"/>
    <x v="8"/>
    <x v="12"/>
    <n v="25.1"/>
    <n v="100.4"/>
    <d v="2025-02-09T00:00:00"/>
    <d v="2025-02-11T00:00:00"/>
    <s v="F"/>
    <x v="1"/>
    <x v="0"/>
    <x v="0"/>
    <x v="3"/>
    <x v="1"/>
    <x v="6"/>
    <x v="2"/>
  </r>
  <r>
    <s v="TX501000"/>
    <x v="17"/>
    <x v="0"/>
    <n v="48.5"/>
    <n v="48.5"/>
    <d v="2025-02-09T00:00:00"/>
    <d v="2025-02-10T00:00:00"/>
    <s v="F"/>
    <x v="0"/>
    <x v="1"/>
    <x v="0"/>
    <x v="3"/>
    <x v="3"/>
    <x v="6"/>
    <x v="2"/>
  </r>
  <r>
    <s v="TX501001"/>
    <x v="7"/>
    <x v="1"/>
    <n v="33.6"/>
    <n v="67.2"/>
    <d v="2025-02-09T00:00:00"/>
    <d v="2025-02-13T00:00:00"/>
    <s v="F"/>
    <x v="2"/>
    <x v="2"/>
    <x v="0"/>
    <x v="3"/>
    <x v="5"/>
    <x v="6"/>
    <x v="2"/>
  </r>
  <r>
    <s v="TX501002"/>
    <x v="8"/>
    <x v="0"/>
    <n v="39.299999999999997"/>
    <n v="39.299999999999997"/>
    <d v="2025-02-09T00:00:00"/>
    <d v="2025-02-20T00:00:00"/>
    <s v="F"/>
    <x v="1"/>
    <x v="1"/>
    <x v="0"/>
    <x v="49"/>
    <x v="11"/>
    <x v="6"/>
    <x v="2"/>
  </r>
  <r>
    <s v="TX501003"/>
    <x v="4"/>
    <x v="7"/>
    <n v="48.8"/>
    <n v="488"/>
    <d v="2025-02-09T00:00:00"/>
    <d v="2025-02-11T00:00:00"/>
    <s v="F"/>
    <x v="3"/>
    <x v="1"/>
    <x v="0"/>
    <x v="25"/>
    <x v="1"/>
    <x v="6"/>
    <x v="2"/>
  </r>
  <r>
    <s v="TX501004"/>
    <x v="6"/>
    <x v="8"/>
    <n v="72.8"/>
    <n v="582.4"/>
    <d v="2025-02-09T00:00:00"/>
    <d v="2025-02-11T00:00:00"/>
    <s v="M"/>
    <x v="1"/>
    <x v="2"/>
    <x v="0"/>
    <x v="5"/>
    <x v="1"/>
    <x v="6"/>
    <x v="1"/>
  </r>
  <r>
    <s v="TX501005"/>
    <x v="10"/>
    <x v="8"/>
    <n v="46.2"/>
    <n v="369.6"/>
    <d v="2025-02-09T00:00:00"/>
    <d v="2025-02-10T00:00:00"/>
    <s v="M"/>
    <x v="3"/>
    <x v="4"/>
    <x v="0"/>
    <x v="5"/>
    <x v="3"/>
    <x v="6"/>
    <x v="1"/>
  </r>
  <r>
    <s v="TX501006"/>
    <x v="4"/>
    <x v="1"/>
    <n v="20.7"/>
    <n v="41.4"/>
    <d v="2025-02-09T00:00:00"/>
    <d v="2025-02-10T00:00:00"/>
    <s v="F"/>
    <x v="2"/>
    <x v="3"/>
    <x v="0"/>
    <x v="6"/>
    <x v="3"/>
    <x v="6"/>
    <x v="2"/>
  </r>
  <r>
    <s v="TX501007"/>
    <x v="0"/>
    <x v="0"/>
    <n v="35.700000000000003"/>
    <n v="35.700000000000003"/>
    <d v="2025-02-09T00:00:00"/>
    <d v="2025-02-11T00:00:00"/>
    <s v="F"/>
    <x v="3"/>
    <x v="0"/>
    <x v="0"/>
    <x v="6"/>
    <x v="1"/>
    <x v="6"/>
    <x v="2"/>
  </r>
  <r>
    <s v="TX501008"/>
    <x v="2"/>
    <x v="27"/>
    <n v="166.2"/>
    <n v="2659.2"/>
    <d v="2025-02-09T00:00:00"/>
    <d v="2025-02-11T00:00:00"/>
    <s v=""/>
    <x v="2"/>
    <x v="0"/>
    <x v="0"/>
    <x v="7"/>
    <x v="1"/>
    <x v="6"/>
    <x v="0"/>
  </r>
  <r>
    <s v="TX501009"/>
    <x v="6"/>
    <x v="12"/>
    <n v="85.8"/>
    <n v="343.2"/>
    <d v="2025-02-09T00:00:00"/>
    <d v="2025-02-10T00:00:00"/>
    <s v="F"/>
    <x v="1"/>
    <x v="1"/>
    <x v="0"/>
    <x v="7"/>
    <x v="3"/>
    <x v="6"/>
    <x v="2"/>
  </r>
  <r>
    <s v="TX501010"/>
    <x v="8"/>
    <x v="2"/>
    <n v="26"/>
    <n v="78"/>
    <d v="2025-02-09T00:00:00"/>
    <d v="2025-02-11T00:00:00"/>
    <s v="O"/>
    <x v="1"/>
    <x v="0"/>
    <x v="0"/>
    <x v="7"/>
    <x v="1"/>
    <x v="6"/>
    <x v="3"/>
  </r>
  <r>
    <s v="TX501011"/>
    <x v="2"/>
    <x v="15"/>
    <n v="116.6"/>
    <n v="1515.8"/>
    <d v="2025-02-09T00:00:00"/>
    <d v="2025-02-12T00:00:00"/>
    <s v="F"/>
    <x v="0"/>
    <x v="0"/>
    <x v="0"/>
    <x v="8"/>
    <x v="2"/>
    <x v="6"/>
    <x v="2"/>
  </r>
  <r>
    <s v="TX501012"/>
    <x v="9"/>
    <x v="3"/>
    <n v="53.9"/>
    <n v="377.3"/>
    <d v="2025-02-09T00:00:00"/>
    <d v="2025-02-12T00:00:00"/>
    <s v="O"/>
    <x v="0"/>
    <x v="2"/>
    <x v="0"/>
    <x v="8"/>
    <x v="2"/>
    <x v="6"/>
    <x v="3"/>
  </r>
  <r>
    <s v="TX501013"/>
    <x v="12"/>
    <x v="9"/>
    <n v="72.3"/>
    <n v="361.5"/>
    <d v="2025-02-09T00:00:00"/>
    <d v="2025-02-11T00:00:00"/>
    <s v=""/>
    <x v="2"/>
    <x v="2"/>
    <x v="0"/>
    <x v="8"/>
    <x v="1"/>
    <x v="6"/>
    <x v="0"/>
  </r>
  <r>
    <s v="TX501014"/>
    <x v="5"/>
    <x v="1"/>
    <n v="31.4"/>
    <n v="62.8"/>
    <d v="2025-02-09T00:00:00"/>
    <d v="2025-02-11T00:00:00"/>
    <s v="F"/>
    <x v="0"/>
    <x v="0"/>
    <x v="0"/>
    <x v="8"/>
    <x v="1"/>
    <x v="6"/>
    <x v="2"/>
  </r>
  <r>
    <s v="TX501015"/>
    <x v="13"/>
    <x v="1"/>
    <n v="53.1"/>
    <n v="106.2"/>
    <d v="2025-02-09T00:00:00"/>
    <d v="2025-02-12T00:00:00"/>
    <s v="M"/>
    <x v="1"/>
    <x v="0"/>
    <x v="0"/>
    <x v="8"/>
    <x v="2"/>
    <x v="6"/>
    <x v="1"/>
  </r>
  <r>
    <s v="TX501016"/>
    <x v="2"/>
    <x v="12"/>
    <n v="56.2"/>
    <n v="224.8"/>
    <d v="2025-02-09T00:00:00"/>
    <d v="2025-02-10T00:00:00"/>
    <s v="F"/>
    <x v="0"/>
    <x v="0"/>
    <x v="0"/>
    <x v="8"/>
    <x v="3"/>
    <x v="6"/>
    <x v="2"/>
  </r>
  <r>
    <s v="TX501017"/>
    <x v="1"/>
    <x v="7"/>
    <n v="77.3"/>
    <n v="773"/>
    <d v="2025-02-09T00:00:00"/>
    <d v="2025-02-10T00:00:00"/>
    <s v="F"/>
    <x v="2"/>
    <x v="0"/>
    <x v="0"/>
    <x v="11"/>
    <x v="3"/>
    <x v="6"/>
    <x v="2"/>
  </r>
  <r>
    <s v="TX501018"/>
    <x v="6"/>
    <x v="15"/>
    <n v="57.8"/>
    <n v="751.4"/>
    <d v="2025-02-09T00:00:00"/>
    <d v="2025-02-10T00:00:00"/>
    <s v=""/>
    <x v="0"/>
    <x v="0"/>
    <x v="0"/>
    <x v="53"/>
    <x v="3"/>
    <x v="6"/>
    <x v="0"/>
  </r>
  <r>
    <s v="TX501019"/>
    <x v="12"/>
    <x v="20"/>
    <n v="42.1"/>
    <n v="631.5"/>
    <d v="2025-02-09T00:00:00"/>
    <d v="2025-02-11T00:00:00"/>
    <s v="F"/>
    <x v="1"/>
    <x v="1"/>
    <x v="0"/>
    <x v="53"/>
    <x v="1"/>
    <x v="6"/>
    <x v="2"/>
  </r>
  <r>
    <s v="TX501020"/>
    <x v="8"/>
    <x v="11"/>
    <n v="22.8"/>
    <n v="205.20000000000002"/>
    <d v="2025-02-09T00:00:00"/>
    <d v="2025-02-13T00:00:00"/>
    <s v="M"/>
    <x v="2"/>
    <x v="2"/>
    <x v="0"/>
    <x v="19"/>
    <x v="5"/>
    <x v="6"/>
    <x v="1"/>
  </r>
  <r>
    <s v="TX501021"/>
    <x v="2"/>
    <x v="2"/>
    <n v="171.1"/>
    <n v="513.29999999999995"/>
    <d v="2025-02-10T00:00:00"/>
    <d v="2025-02-17T00:00:00"/>
    <s v="F"/>
    <x v="2"/>
    <x v="1"/>
    <x v="0"/>
    <x v="19"/>
    <x v="6"/>
    <x v="6"/>
    <x v="2"/>
  </r>
  <r>
    <s v="TX501022"/>
    <x v="8"/>
    <x v="0"/>
    <n v="28"/>
    <n v="28"/>
    <d v="2025-02-10T00:00:00"/>
    <d v="2025-02-12T00:00:00"/>
    <s v="M"/>
    <x v="2"/>
    <x v="2"/>
    <x v="0"/>
    <x v="21"/>
    <x v="1"/>
    <x v="6"/>
    <x v="1"/>
  </r>
  <r>
    <s v="TX501023"/>
    <x v="6"/>
    <x v="3"/>
    <n v="50.2"/>
    <n v="351.40000000000003"/>
    <d v="2025-02-10T00:00:00"/>
    <d v="2025-02-12T00:00:00"/>
    <s v="M"/>
    <x v="2"/>
    <x v="0"/>
    <x v="0"/>
    <x v="21"/>
    <x v="1"/>
    <x v="6"/>
    <x v="1"/>
  </r>
  <r>
    <s v="TX501024"/>
    <x v="6"/>
    <x v="1"/>
    <n v="56"/>
    <n v="112"/>
    <d v="2025-02-10T00:00:00"/>
    <d v="2025-02-10T00:00:00"/>
    <s v="M"/>
    <x v="0"/>
    <x v="2"/>
    <x v="0"/>
    <x v="22"/>
    <x v="7"/>
    <x v="6"/>
    <x v="1"/>
  </r>
  <r>
    <s v="TX501025"/>
    <x v="1"/>
    <x v="1"/>
    <n v="38.299999999999997"/>
    <n v="76.599999999999994"/>
    <d v="2025-02-10T00:00:00"/>
    <d v="2025-02-11T00:00:00"/>
    <s v="F"/>
    <x v="1"/>
    <x v="0"/>
    <x v="0"/>
    <x v="3"/>
    <x v="3"/>
    <x v="6"/>
    <x v="2"/>
  </r>
  <r>
    <s v="TX501026"/>
    <x v="0"/>
    <x v="9"/>
    <n v="22.3"/>
    <n v="111.5"/>
    <d v="2025-02-10T00:00:00"/>
    <d v="2025-02-14T00:00:00"/>
    <s v="F"/>
    <x v="2"/>
    <x v="1"/>
    <x v="0"/>
    <x v="3"/>
    <x v="5"/>
    <x v="6"/>
    <x v="2"/>
  </r>
  <r>
    <s v="TX501027"/>
    <x v="0"/>
    <x v="2"/>
    <n v="22.3"/>
    <n v="66.900000000000006"/>
    <d v="2025-02-10T00:00:00"/>
    <d v="2025-02-13T00:00:00"/>
    <s v="F"/>
    <x v="2"/>
    <x v="0"/>
    <x v="0"/>
    <x v="3"/>
    <x v="2"/>
    <x v="6"/>
    <x v="2"/>
  </r>
  <r>
    <s v="TX501028"/>
    <x v="1"/>
    <x v="0"/>
    <n v="32.9"/>
    <n v="32.9"/>
    <d v="2025-02-10T00:00:00"/>
    <d v="2025-02-15T00:00:00"/>
    <s v="F"/>
    <x v="0"/>
    <x v="0"/>
    <x v="0"/>
    <x v="3"/>
    <x v="0"/>
    <x v="6"/>
    <x v="2"/>
  </r>
  <r>
    <s v="TX501029"/>
    <x v="10"/>
    <x v="2"/>
    <n v="31.9"/>
    <n v="95.699999999999989"/>
    <d v="2025-02-10T00:00:00"/>
    <d v="2025-02-15T00:00:00"/>
    <s v="F"/>
    <x v="0"/>
    <x v="0"/>
    <x v="0"/>
    <x v="3"/>
    <x v="0"/>
    <x v="6"/>
    <x v="2"/>
  </r>
  <r>
    <s v="TX501030"/>
    <x v="6"/>
    <x v="1"/>
    <n v="94"/>
    <n v="188"/>
    <d v="2025-02-10T00:00:00"/>
    <d v="2025-02-11T00:00:00"/>
    <s v="M"/>
    <x v="2"/>
    <x v="2"/>
    <x v="0"/>
    <x v="3"/>
    <x v="3"/>
    <x v="6"/>
    <x v="1"/>
  </r>
  <r>
    <s v="TX501031"/>
    <x v="10"/>
    <x v="1"/>
    <n v="30.7"/>
    <n v="61.4"/>
    <d v="2025-02-10T00:00:00"/>
    <d v="2025-02-11T00:00:00"/>
    <s v="F"/>
    <x v="0"/>
    <x v="1"/>
    <x v="0"/>
    <x v="3"/>
    <x v="3"/>
    <x v="6"/>
    <x v="2"/>
  </r>
  <r>
    <s v="TX501032"/>
    <x v="5"/>
    <x v="9"/>
    <n v="90.5"/>
    <n v="452.5"/>
    <d v="2025-02-10T00:00:00"/>
    <d v="2025-02-17T00:00:00"/>
    <s v="M"/>
    <x v="0"/>
    <x v="2"/>
    <x v="0"/>
    <x v="3"/>
    <x v="6"/>
    <x v="6"/>
    <x v="1"/>
  </r>
  <r>
    <s v="TX501033"/>
    <x v="8"/>
    <x v="9"/>
    <n v="25.3"/>
    <n v="126.5"/>
    <d v="2025-02-10T00:00:00"/>
    <d v="2025-02-14T00:00:00"/>
    <s v="F"/>
    <x v="0"/>
    <x v="2"/>
    <x v="0"/>
    <x v="3"/>
    <x v="5"/>
    <x v="6"/>
    <x v="2"/>
  </r>
  <r>
    <s v="TX501034"/>
    <x v="6"/>
    <x v="2"/>
    <n v="58.1"/>
    <n v="174.3"/>
    <d v="2025-02-10T00:00:00"/>
    <d v="2025-02-14T00:00:00"/>
    <s v=""/>
    <x v="0"/>
    <x v="2"/>
    <x v="0"/>
    <x v="3"/>
    <x v="5"/>
    <x v="6"/>
    <x v="0"/>
  </r>
  <r>
    <s v="TX501035"/>
    <x v="2"/>
    <x v="2"/>
    <n v="74.900000000000006"/>
    <n v="224.70000000000002"/>
    <d v="2025-02-10T00:00:00"/>
    <d v="2025-02-11T00:00:00"/>
    <s v="F"/>
    <x v="4"/>
    <x v="0"/>
    <x v="0"/>
    <x v="3"/>
    <x v="3"/>
    <x v="6"/>
    <x v="2"/>
  </r>
  <r>
    <s v="TX501036"/>
    <x v="4"/>
    <x v="1"/>
    <n v="32.5"/>
    <n v="65"/>
    <d v="2025-02-10T00:00:00"/>
    <d v="2025-02-11T00:00:00"/>
    <s v="M"/>
    <x v="2"/>
    <x v="2"/>
    <x v="0"/>
    <x v="43"/>
    <x v="3"/>
    <x v="6"/>
    <x v="1"/>
  </r>
  <r>
    <s v="TX501037"/>
    <x v="4"/>
    <x v="9"/>
    <n v="62"/>
    <n v="310"/>
    <d v="2025-02-10T00:00:00"/>
    <d v="2025-02-11T00:00:00"/>
    <s v="M"/>
    <x v="4"/>
    <x v="2"/>
    <x v="0"/>
    <x v="25"/>
    <x v="3"/>
    <x v="6"/>
    <x v="1"/>
  </r>
  <r>
    <s v="TX501038"/>
    <x v="13"/>
    <x v="13"/>
    <n v="28.9"/>
    <n v="173.39999999999998"/>
    <d v="2025-02-10T00:00:00"/>
    <d v="2025-02-13T00:00:00"/>
    <s v="F"/>
    <x v="0"/>
    <x v="1"/>
    <x v="0"/>
    <x v="6"/>
    <x v="2"/>
    <x v="6"/>
    <x v="2"/>
  </r>
  <r>
    <s v="TX501039"/>
    <x v="6"/>
    <x v="8"/>
    <n v="42.8"/>
    <n v="342.4"/>
    <d v="2025-02-10T00:00:00"/>
    <d v="2025-02-12T00:00:00"/>
    <s v="F"/>
    <x v="0"/>
    <x v="2"/>
    <x v="0"/>
    <x v="6"/>
    <x v="1"/>
    <x v="6"/>
    <x v="2"/>
  </r>
  <r>
    <s v="TX501040"/>
    <x v="8"/>
    <x v="8"/>
    <n v="39.4"/>
    <n v="315.2"/>
    <d v="2025-02-10T00:00:00"/>
    <d v="2025-02-12T00:00:00"/>
    <s v="M"/>
    <x v="0"/>
    <x v="0"/>
    <x v="0"/>
    <x v="36"/>
    <x v="1"/>
    <x v="6"/>
    <x v="1"/>
  </r>
  <r>
    <s v="TX501041"/>
    <x v="18"/>
    <x v="2"/>
    <n v="66.400000000000006"/>
    <n v="199.20000000000002"/>
    <d v="2025-02-10T00:00:00"/>
    <d v="2025-02-11T00:00:00"/>
    <s v=""/>
    <x v="2"/>
    <x v="1"/>
    <x v="0"/>
    <x v="7"/>
    <x v="3"/>
    <x v="6"/>
    <x v="0"/>
  </r>
  <r>
    <s v="TX501042"/>
    <x v="17"/>
    <x v="12"/>
    <n v="35.9"/>
    <n v="143.6"/>
    <d v="2025-02-10T00:00:00"/>
    <d v="2025-02-17T00:00:00"/>
    <s v="F"/>
    <x v="1"/>
    <x v="0"/>
    <x v="0"/>
    <x v="7"/>
    <x v="6"/>
    <x v="6"/>
    <x v="2"/>
  </r>
  <r>
    <s v="TX501043"/>
    <x v="0"/>
    <x v="12"/>
    <n v="26.9"/>
    <n v="107.6"/>
    <d v="2025-02-10T00:00:00"/>
    <d v="2025-02-11T00:00:00"/>
    <s v="M"/>
    <x v="1"/>
    <x v="0"/>
    <x v="0"/>
    <x v="7"/>
    <x v="3"/>
    <x v="6"/>
    <x v="1"/>
  </r>
  <r>
    <s v="TX501044"/>
    <x v="2"/>
    <x v="0"/>
    <n v="55.1"/>
    <n v="55.1"/>
    <d v="2025-02-10T00:00:00"/>
    <d v="2025-02-11T00:00:00"/>
    <s v="F"/>
    <x v="0"/>
    <x v="0"/>
    <x v="0"/>
    <x v="7"/>
    <x v="3"/>
    <x v="6"/>
    <x v="2"/>
  </r>
  <r>
    <s v="TX501045"/>
    <x v="4"/>
    <x v="1"/>
    <n v="23.9"/>
    <n v="47.8"/>
    <d v="2025-02-10T00:00:00"/>
    <d v="2025-02-11T00:00:00"/>
    <s v="M"/>
    <x v="0"/>
    <x v="2"/>
    <x v="0"/>
    <x v="8"/>
    <x v="3"/>
    <x v="6"/>
    <x v="1"/>
  </r>
  <r>
    <s v="TX501046"/>
    <x v="9"/>
    <x v="15"/>
    <n v="21.1"/>
    <n v="274.3"/>
    <d v="2025-02-10T00:00:00"/>
    <d v="2025-02-18T00:00:00"/>
    <s v="F"/>
    <x v="0"/>
    <x v="1"/>
    <x v="0"/>
    <x v="8"/>
    <x v="9"/>
    <x v="6"/>
    <x v="2"/>
  </r>
  <r>
    <s v="TX501047"/>
    <x v="8"/>
    <x v="9"/>
    <n v="33.799999999999997"/>
    <n v="169"/>
    <d v="2025-02-10T00:00:00"/>
    <d v="2025-02-12T00:00:00"/>
    <s v="F"/>
    <x v="0"/>
    <x v="0"/>
    <x v="0"/>
    <x v="8"/>
    <x v="1"/>
    <x v="6"/>
    <x v="2"/>
  </r>
  <r>
    <s v="TX501048"/>
    <x v="2"/>
    <x v="12"/>
    <n v="56.1"/>
    <n v="224.4"/>
    <d v="2025-02-10T00:00:00"/>
    <d v="2025-02-10T00:00:00"/>
    <s v="F"/>
    <x v="3"/>
    <x v="2"/>
    <x v="0"/>
    <x v="9"/>
    <x v="7"/>
    <x v="6"/>
    <x v="2"/>
  </r>
  <r>
    <s v="TX501049"/>
    <x v="3"/>
    <x v="0"/>
    <n v="58.5"/>
    <n v="58.5"/>
    <d v="2025-02-11T00:00:00"/>
    <d v="2025-02-15T00:00:00"/>
    <s v="F"/>
    <x v="1"/>
    <x v="2"/>
    <x v="0"/>
    <x v="9"/>
    <x v="5"/>
    <x v="6"/>
    <x v="2"/>
  </r>
  <r>
    <s v="TX501050"/>
    <x v="6"/>
    <x v="0"/>
    <n v="84.2"/>
    <n v="84.2"/>
    <d v="2025-02-11T00:00:00"/>
    <d v="2025-02-13T00:00:00"/>
    <s v="M"/>
    <x v="3"/>
    <x v="0"/>
    <x v="0"/>
    <x v="11"/>
    <x v="1"/>
    <x v="6"/>
    <x v="1"/>
  </r>
  <r>
    <s v="TX501051"/>
    <x v="11"/>
    <x v="12"/>
    <n v="52"/>
    <n v="208"/>
    <d v="2025-02-11T00:00:00"/>
    <d v="2025-02-14T00:00:00"/>
    <s v="M"/>
    <x v="0"/>
    <x v="0"/>
    <x v="0"/>
    <x v="11"/>
    <x v="2"/>
    <x v="6"/>
    <x v="1"/>
  </r>
  <r>
    <s v="TX501052"/>
    <x v="4"/>
    <x v="9"/>
    <n v="31.5"/>
    <n v="157.5"/>
    <d v="2025-02-11T00:00:00"/>
    <d v="2025-02-12T00:00:00"/>
    <s v="F"/>
    <x v="0"/>
    <x v="2"/>
    <x v="0"/>
    <x v="11"/>
    <x v="3"/>
    <x v="6"/>
    <x v="2"/>
  </r>
  <r>
    <s v="TX501053"/>
    <x v="16"/>
    <x v="2"/>
    <n v="46.2"/>
    <n v="138.60000000000002"/>
    <d v="2025-02-11T00:00:00"/>
    <d v="2025-02-12T00:00:00"/>
    <s v="M"/>
    <x v="0"/>
    <x v="0"/>
    <x v="0"/>
    <x v="53"/>
    <x v="3"/>
    <x v="6"/>
    <x v="1"/>
  </r>
  <r>
    <s v="TX501054"/>
    <x v="2"/>
    <x v="13"/>
    <n v="135"/>
    <n v="810"/>
    <d v="2025-02-11T00:00:00"/>
    <d v="2025-02-12T00:00:00"/>
    <s v="F"/>
    <x v="1"/>
    <x v="2"/>
    <x v="0"/>
    <x v="18"/>
    <x v="3"/>
    <x v="6"/>
    <x v="2"/>
  </r>
  <r>
    <s v="TX501055"/>
    <x v="12"/>
    <x v="2"/>
    <n v="92.2"/>
    <n v="276.60000000000002"/>
    <d v="2025-02-11T00:00:00"/>
    <d v="2025-02-15T00:00:00"/>
    <s v="M"/>
    <x v="0"/>
    <x v="0"/>
    <x v="0"/>
    <x v="21"/>
    <x v="5"/>
    <x v="6"/>
    <x v="1"/>
  </r>
  <r>
    <s v="TX501056"/>
    <x v="8"/>
    <x v="0"/>
    <n v="36.6"/>
    <n v="36.6"/>
    <d v="2025-02-11T00:00:00"/>
    <d v="2025-02-13T00:00:00"/>
    <s v="M"/>
    <x v="2"/>
    <x v="2"/>
    <x v="0"/>
    <x v="21"/>
    <x v="1"/>
    <x v="6"/>
    <x v="1"/>
  </r>
  <r>
    <s v="TX501057"/>
    <x v="9"/>
    <x v="1"/>
    <n v="50.6"/>
    <n v="101.2"/>
    <d v="2025-02-11T00:00:00"/>
    <d v="2025-02-14T00:00:00"/>
    <s v="F"/>
    <x v="0"/>
    <x v="0"/>
    <x v="0"/>
    <x v="2"/>
    <x v="2"/>
    <x v="6"/>
    <x v="2"/>
  </r>
  <r>
    <s v="TX501058"/>
    <x v="18"/>
    <x v="3"/>
    <n v="56.7"/>
    <n v="396.90000000000003"/>
    <d v="2025-02-11T00:00:00"/>
    <d v="2025-02-14T00:00:00"/>
    <s v="F"/>
    <x v="0"/>
    <x v="0"/>
    <x v="0"/>
    <x v="2"/>
    <x v="2"/>
    <x v="6"/>
    <x v="2"/>
  </r>
  <r>
    <s v="TX501059"/>
    <x v="9"/>
    <x v="15"/>
    <n v="22.9"/>
    <n v="297.7"/>
    <d v="2025-02-11T00:00:00"/>
    <d v="2025-02-12T00:00:00"/>
    <s v="F"/>
    <x v="0"/>
    <x v="1"/>
    <x v="0"/>
    <x v="44"/>
    <x v="3"/>
    <x v="6"/>
    <x v="2"/>
  </r>
  <r>
    <s v="TX501060"/>
    <x v="15"/>
    <x v="10"/>
    <n v="53.6"/>
    <n v="1018.4"/>
    <d v="2025-02-11T00:00:00"/>
    <d v="2025-02-12T00:00:00"/>
    <s v="M"/>
    <x v="0"/>
    <x v="0"/>
    <x v="0"/>
    <x v="22"/>
    <x v="3"/>
    <x v="6"/>
    <x v="1"/>
  </r>
  <r>
    <s v="TX501061"/>
    <x v="18"/>
    <x v="1"/>
    <n v="30.2"/>
    <n v="60.4"/>
    <d v="2025-02-11T00:00:00"/>
    <d v="2025-02-13T00:00:00"/>
    <s v=""/>
    <x v="2"/>
    <x v="2"/>
    <x v="0"/>
    <x v="3"/>
    <x v="1"/>
    <x v="6"/>
    <x v="0"/>
  </r>
  <r>
    <s v="TX501062"/>
    <x v="15"/>
    <x v="13"/>
    <n v="83.4"/>
    <n v="500.40000000000003"/>
    <d v="2025-02-11T00:00:00"/>
    <d v="2025-02-12T00:00:00"/>
    <s v="M"/>
    <x v="1"/>
    <x v="2"/>
    <x v="0"/>
    <x v="3"/>
    <x v="3"/>
    <x v="6"/>
    <x v="1"/>
  </r>
  <r>
    <s v="TX501063"/>
    <x v="13"/>
    <x v="4"/>
    <n v="16.600000000000001"/>
    <n v="199.20000000000002"/>
    <d v="2025-02-11T00:00:00"/>
    <d v="2025-02-13T00:00:00"/>
    <s v="M"/>
    <x v="1"/>
    <x v="0"/>
    <x v="0"/>
    <x v="3"/>
    <x v="1"/>
    <x v="6"/>
    <x v="1"/>
  </r>
  <r>
    <s v="TX501064"/>
    <x v="8"/>
    <x v="14"/>
    <n v="21.9"/>
    <n v="372.29999999999995"/>
    <d v="2025-02-11T00:00:00"/>
    <d v="2025-02-13T00:00:00"/>
    <s v="F"/>
    <x v="4"/>
    <x v="1"/>
    <x v="0"/>
    <x v="3"/>
    <x v="1"/>
    <x v="6"/>
    <x v="2"/>
  </r>
  <r>
    <s v="TX501065"/>
    <x v="8"/>
    <x v="31"/>
    <n v="33.799999999999997"/>
    <n v="946.39999999999986"/>
    <d v="2025-02-11T00:00:00"/>
    <d v="2025-02-13T00:00:00"/>
    <s v="M"/>
    <x v="2"/>
    <x v="4"/>
    <x v="0"/>
    <x v="3"/>
    <x v="1"/>
    <x v="6"/>
    <x v="1"/>
  </r>
  <r>
    <s v="TX501066"/>
    <x v="18"/>
    <x v="1"/>
    <n v="53.2"/>
    <n v="106.4"/>
    <d v="2025-02-11T00:00:00"/>
    <d v="2025-02-11T00:00:00"/>
    <s v="M"/>
    <x v="1"/>
    <x v="0"/>
    <x v="0"/>
    <x v="3"/>
    <x v="7"/>
    <x v="6"/>
    <x v="1"/>
  </r>
  <r>
    <s v="TX501067"/>
    <x v="2"/>
    <x v="1"/>
    <n v="176.7"/>
    <n v="353.4"/>
    <d v="2025-02-11T00:00:00"/>
    <d v="2025-02-14T00:00:00"/>
    <s v="F"/>
    <x v="2"/>
    <x v="0"/>
    <x v="0"/>
    <x v="3"/>
    <x v="2"/>
    <x v="6"/>
    <x v="2"/>
  </r>
  <r>
    <s v="TX501068"/>
    <x v="12"/>
    <x v="2"/>
    <n v="54"/>
    <n v="162"/>
    <d v="2025-02-11T00:00:00"/>
    <d v="2025-02-14T00:00:00"/>
    <s v="M"/>
    <x v="0"/>
    <x v="1"/>
    <x v="0"/>
    <x v="3"/>
    <x v="2"/>
    <x v="6"/>
    <x v="1"/>
  </r>
  <r>
    <s v="TX501069"/>
    <x v="9"/>
    <x v="1"/>
    <n v="70.099999999999994"/>
    <n v="140.19999999999999"/>
    <d v="2025-02-11T00:00:00"/>
    <d v="2025-02-19T00:00:00"/>
    <s v="F"/>
    <x v="3"/>
    <x v="2"/>
    <x v="0"/>
    <x v="3"/>
    <x v="9"/>
    <x v="6"/>
    <x v="2"/>
  </r>
  <r>
    <s v="TX501070"/>
    <x v="8"/>
    <x v="0"/>
    <n v="26.5"/>
    <n v="26.5"/>
    <d v="2025-02-11T00:00:00"/>
    <d v="2025-02-13T00:00:00"/>
    <s v="F"/>
    <x v="1"/>
    <x v="0"/>
    <x v="0"/>
    <x v="3"/>
    <x v="1"/>
    <x v="6"/>
    <x v="2"/>
  </r>
  <r>
    <s v="TX501071"/>
    <x v="7"/>
    <x v="9"/>
    <n v="89"/>
    <n v="445"/>
    <d v="2025-02-11T00:00:00"/>
    <d v="2025-02-13T00:00:00"/>
    <s v="M"/>
    <x v="2"/>
    <x v="4"/>
    <x v="0"/>
    <x v="3"/>
    <x v="1"/>
    <x v="6"/>
    <x v="1"/>
  </r>
  <r>
    <s v="TX501072"/>
    <x v="1"/>
    <x v="13"/>
    <n v="47"/>
    <n v="282"/>
    <d v="2025-02-11T00:00:00"/>
    <d v="2025-02-14T00:00:00"/>
    <s v="F"/>
    <x v="3"/>
    <x v="0"/>
    <x v="0"/>
    <x v="24"/>
    <x v="2"/>
    <x v="6"/>
    <x v="2"/>
  </r>
  <r>
    <s v="TX501073"/>
    <x v="3"/>
    <x v="1"/>
    <n v="55.2"/>
    <n v="110.4"/>
    <d v="2025-02-11T00:00:00"/>
    <d v="2025-02-14T00:00:00"/>
    <s v="M"/>
    <x v="1"/>
    <x v="1"/>
    <x v="0"/>
    <x v="6"/>
    <x v="2"/>
    <x v="6"/>
    <x v="1"/>
  </r>
  <r>
    <s v="TX501074"/>
    <x v="8"/>
    <x v="39"/>
    <n v="33.299999999999997"/>
    <n v="1398.6"/>
    <d v="2025-02-11T00:00:00"/>
    <d v="2025-02-25T00:00:00"/>
    <s v="M"/>
    <x v="1"/>
    <x v="2"/>
    <x v="0"/>
    <x v="6"/>
    <x v="12"/>
    <x v="6"/>
    <x v="1"/>
  </r>
  <r>
    <s v="TX501075"/>
    <x v="2"/>
    <x v="12"/>
    <n v="110.9"/>
    <n v="443.6"/>
    <d v="2025-02-12T00:00:00"/>
    <d v="2025-02-12T00:00:00"/>
    <s v="M"/>
    <x v="2"/>
    <x v="4"/>
    <x v="0"/>
    <x v="6"/>
    <x v="7"/>
    <x v="6"/>
    <x v="1"/>
  </r>
  <r>
    <s v="TX501076"/>
    <x v="2"/>
    <x v="13"/>
    <n v="67.3"/>
    <n v="403.79999999999995"/>
    <d v="2025-02-12T00:00:00"/>
    <d v="2025-02-13T00:00:00"/>
    <s v="M"/>
    <x v="0"/>
    <x v="0"/>
    <x v="0"/>
    <x v="8"/>
    <x v="3"/>
    <x v="6"/>
    <x v="1"/>
  </r>
  <r>
    <s v="TX501077"/>
    <x v="6"/>
    <x v="2"/>
    <n v="69.7"/>
    <n v="209.10000000000002"/>
    <d v="2025-02-12T00:00:00"/>
    <d v="2025-02-13T00:00:00"/>
    <s v="M"/>
    <x v="2"/>
    <x v="1"/>
    <x v="0"/>
    <x v="8"/>
    <x v="3"/>
    <x v="6"/>
    <x v="1"/>
  </r>
  <r>
    <s v="TX501078"/>
    <x v="5"/>
    <x v="0"/>
    <n v="39.1"/>
    <n v="39.1"/>
    <d v="2025-02-12T00:00:00"/>
    <d v="2025-02-17T00:00:00"/>
    <s v="M"/>
    <x v="0"/>
    <x v="1"/>
    <x v="0"/>
    <x v="17"/>
    <x v="0"/>
    <x v="6"/>
    <x v="1"/>
  </r>
  <r>
    <s v="TX501079"/>
    <x v="2"/>
    <x v="2"/>
    <n v="208.6"/>
    <n v="625.79999999999995"/>
    <d v="2025-02-12T00:00:00"/>
    <d v="2025-02-12T00:00:00"/>
    <s v="M"/>
    <x v="4"/>
    <x v="2"/>
    <x v="0"/>
    <x v="17"/>
    <x v="7"/>
    <x v="6"/>
    <x v="1"/>
  </r>
  <r>
    <s v="TX501080"/>
    <x v="15"/>
    <x v="2"/>
    <n v="27.8"/>
    <n v="83.4"/>
    <d v="2025-02-12T00:00:00"/>
    <d v="2025-02-13T00:00:00"/>
    <s v="M"/>
    <x v="3"/>
    <x v="1"/>
    <x v="0"/>
    <x v="11"/>
    <x v="3"/>
    <x v="6"/>
    <x v="1"/>
  </r>
  <r>
    <s v="TX501081"/>
    <x v="10"/>
    <x v="9"/>
    <n v="29.4"/>
    <n v="147"/>
    <d v="2025-02-12T00:00:00"/>
    <d v="2025-02-14T00:00:00"/>
    <s v="F"/>
    <x v="0"/>
    <x v="0"/>
    <x v="0"/>
    <x v="11"/>
    <x v="1"/>
    <x v="6"/>
    <x v="2"/>
  </r>
  <r>
    <s v="TX501082"/>
    <x v="9"/>
    <x v="1"/>
    <n v="29.2"/>
    <n v="58.4"/>
    <d v="2025-02-12T00:00:00"/>
    <d v="2025-02-14T00:00:00"/>
    <s v="F"/>
    <x v="1"/>
    <x v="2"/>
    <x v="0"/>
    <x v="20"/>
    <x v="1"/>
    <x v="6"/>
    <x v="2"/>
  </r>
  <r>
    <s v="TX501083"/>
    <x v="10"/>
    <x v="9"/>
    <n v="26.5"/>
    <n v="132.5"/>
    <d v="2025-02-12T00:00:00"/>
    <d v="2025-02-14T00:00:00"/>
    <s v="F"/>
    <x v="0"/>
    <x v="0"/>
    <x v="0"/>
    <x v="52"/>
    <x v="1"/>
    <x v="6"/>
    <x v="2"/>
  </r>
  <r>
    <s v="TX501084"/>
    <x v="5"/>
    <x v="0"/>
    <n v="30.3"/>
    <n v="30.3"/>
    <d v="2025-02-12T00:00:00"/>
    <d v="2025-02-13T00:00:00"/>
    <s v="F"/>
    <x v="4"/>
    <x v="1"/>
    <x v="0"/>
    <x v="13"/>
    <x v="3"/>
    <x v="6"/>
    <x v="2"/>
  </r>
  <r>
    <s v="TX501085"/>
    <x v="16"/>
    <x v="4"/>
    <n v="39.700000000000003"/>
    <n v="476.40000000000003"/>
    <d v="2025-02-12T00:00:00"/>
    <d v="2025-02-13T00:00:00"/>
    <s v="F"/>
    <x v="0"/>
    <x v="0"/>
    <x v="0"/>
    <x v="21"/>
    <x v="3"/>
    <x v="6"/>
    <x v="2"/>
  </r>
  <r>
    <s v="TX501086"/>
    <x v="7"/>
    <x v="7"/>
    <n v="58.9"/>
    <n v="589"/>
    <d v="2025-02-12T00:00:00"/>
    <d v="2025-02-14T00:00:00"/>
    <s v="F"/>
    <x v="1"/>
    <x v="4"/>
    <x v="0"/>
    <x v="21"/>
    <x v="1"/>
    <x v="6"/>
    <x v="2"/>
  </r>
  <r>
    <s v="TX501087"/>
    <x v="2"/>
    <x v="1"/>
    <n v="174.1"/>
    <n v="348.2"/>
    <d v="2025-02-12T00:00:00"/>
    <d v="2025-02-14T00:00:00"/>
    <s v="F"/>
    <x v="0"/>
    <x v="1"/>
    <x v="0"/>
    <x v="46"/>
    <x v="1"/>
    <x v="6"/>
    <x v="2"/>
  </r>
  <r>
    <s v="TX501088"/>
    <x v="6"/>
    <x v="1"/>
    <n v="70.8"/>
    <n v="141.6"/>
    <d v="2025-02-12T00:00:00"/>
    <d v="2025-02-15T00:00:00"/>
    <s v="M"/>
    <x v="2"/>
    <x v="0"/>
    <x v="0"/>
    <x v="22"/>
    <x v="2"/>
    <x v="6"/>
    <x v="1"/>
  </r>
  <r>
    <s v="TX501089"/>
    <x v="7"/>
    <x v="1"/>
    <n v="57.4"/>
    <n v="114.8"/>
    <d v="2025-02-12T00:00:00"/>
    <d v="2025-02-14T00:00:00"/>
    <s v="F"/>
    <x v="1"/>
    <x v="1"/>
    <x v="0"/>
    <x v="34"/>
    <x v="1"/>
    <x v="6"/>
    <x v="2"/>
  </r>
  <r>
    <s v="TX501090"/>
    <x v="0"/>
    <x v="1"/>
    <n v="28.5"/>
    <n v="57"/>
    <d v="2025-02-12T00:00:00"/>
    <d v="2025-02-14T00:00:00"/>
    <s v="M"/>
    <x v="3"/>
    <x v="1"/>
    <x v="0"/>
    <x v="3"/>
    <x v="1"/>
    <x v="6"/>
    <x v="1"/>
  </r>
  <r>
    <s v="TX501091"/>
    <x v="2"/>
    <x v="28"/>
    <n v="106.6"/>
    <n v="2132"/>
    <d v="2025-02-12T00:00:00"/>
    <d v="2025-02-13T00:00:00"/>
    <s v=""/>
    <x v="1"/>
    <x v="4"/>
    <x v="0"/>
    <x v="3"/>
    <x v="3"/>
    <x v="6"/>
    <x v="0"/>
  </r>
  <r>
    <s v="TX501092"/>
    <x v="2"/>
    <x v="2"/>
    <n v="119.7"/>
    <n v="359.1"/>
    <d v="2025-02-12T00:00:00"/>
    <d v="2025-02-13T00:00:00"/>
    <s v="F"/>
    <x v="1"/>
    <x v="4"/>
    <x v="0"/>
    <x v="3"/>
    <x v="3"/>
    <x v="6"/>
    <x v="2"/>
  </r>
  <r>
    <s v="TX501093"/>
    <x v="18"/>
    <x v="0"/>
    <n v="73.3"/>
    <n v="73.3"/>
    <d v="2025-02-12T00:00:00"/>
    <d v="2025-02-17T00:00:00"/>
    <s v="F"/>
    <x v="0"/>
    <x v="2"/>
    <x v="0"/>
    <x v="3"/>
    <x v="0"/>
    <x v="6"/>
    <x v="2"/>
  </r>
  <r>
    <s v="TX501094"/>
    <x v="0"/>
    <x v="1"/>
    <n v="25.8"/>
    <n v="51.6"/>
    <d v="2025-02-12T00:00:00"/>
    <d v="2025-02-26T00:00:00"/>
    <s v="M"/>
    <x v="2"/>
    <x v="0"/>
    <x v="0"/>
    <x v="3"/>
    <x v="12"/>
    <x v="6"/>
    <x v="1"/>
  </r>
  <r>
    <s v="TX501095"/>
    <x v="17"/>
    <x v="2"/>
    <n v="49.1"/>
    <n v="147.30000000000001"/>
    <d v="2025-02-12T00:00:00"/>
    <d v="2025-02-14T00:00:00"/>
    <s v="F"/>
    <x v="0"/>
    <x v="0"/>
    <x v="0"/>
    <x v="24"/>
    <x v="1"/>
    <x v="6"/>
    <x v="2"/>
  </r>
  <r>
    <s v="TX501096"/>
    <x v="1"/>
    <x v="0"/>
    <n v="44.9"/>
    <n v="44.9"/>
    <d v="2025-02-12T00:00:00"/>
    <d v="2025-02-15T00:00:00"/>
    <s v="F"/>
    <x v="3"/>
    <x v="2"/>
    <x v="0"/>
    <x v="6"/>
    <x v="2"/>
    <x v="6"/>
    <x v="2"/>
  </r>
  <r>
    <s v="TX501097"/>
    <x v="15"/>
    <x v="3"/>
    <n v="29.9"/>
    <n v="209.29999999999998"/>
    <d v="2025-02-12T00:00:00"/>
    <d v="2025-02-13T00:00:00"/>
    <s v="F"/>
    <x v="0"/>
    <x v="0"/>
    <x v="0"/>
    <x v="6"/>
    <x v="3"/>
    <x v="6"/>
    <x v="2"/>
  </r>
  <r>
    <s v="TX501098"/>
    <x v="7"/>
    <x v="1"/>
    <n v="54.3"/>
    <n v="108.6"/>
    <d v="2025-02-13T00:00:00"/>
    <d v="2025-02-14T00:00:00"/>
    <s v="M"/>
    <x v="3"/>
    <x v="0"/>
    <x v="0"/>
    <x v="36"/>
    <x v="3"/>
    <x v="6"/>
    <x v="1"/>
  </r>
  <r>
    <s v="TX501099"/>
    <x v="9"/>
    <x v="12"/>
    <n v="57"/>
    <n v="228"/>
    <d v="2025-02-13T00:00:00"/>
    <d v="2025-02-15T00:00:00"/>
    <s v="F"/>
    <x v="0"/>
    <x v="0"/>
    <x v="0"/>
    <x v="8"/>
    <x v="1"/>
    <x v="6"/>
    <x v="2"/>
  </r>
  <r>
    <s v="TX501100"/>
    <x v="2"/>
    <x v="0"/>
    <n v="139.19999999999999"/>
    <n v="139.19999999999999"/>
    <d v="2025-02-13T00:00:00"/>
    <d v="2025-02-14T00:00:00"/>
    <s v="F"/>
    <x v="3"/>
    <x v="2"/>
    <x v="0"/>
    <x v="8"/>
    <x v="3"/>
    <x v="6"/>
    <x v="2"/>
  </r>
  <r>
    <s v="TX501101"/>
    <x v="10"/>
    <x v="0"/>
    <n v="33"/>
    <n v="33"/>
    <d v="2025-02-13T00:00:00"/>
    <d v="2025-02-16T00:00:00"/>
    <s v="F"/>
    <x v="0"/>
    <x v="2"/>
    <x v="0"/>
    <x v="8"/>
    <x v="2"/>
    <x v="6"/>
    <x v="2"/>
  </r>
  <r>
    <s v="TX501102"/>
    <x v="11"/>
    <x v="13"/>
    <n v="80.2"/>
    <n v="481.20000000000005"/>
    <d v="2025-02-13T00:00:00"/>
    <d v="2025-02-15T00:00:00"/>
    <s v="M"/>
    <x v="1"/>
    <x v="4"/>
    <x v="0"/>
    <x v="8"/>
    <x v="1"/>
    <x v="6"/>
    <x v="1"/>
  </r>
  <r>
    <s v="TX501103"/>
    <x v="18"/>
    <x v="8"/>
    <n v="49"/>
    <n v="392"/>
    <d v="2025-02-13T00:00:00"/>
    <d v="2025-02-14T00:00:00"/>
    <s v=""/>
    <x v="2"/>
    <x v="1"/>
    <x v="0"/>
    <x v="9"/>
    <x v="3"/>
    <x v="6"/>
    <x v="0"/>
  </r>
  <r>
    <s v="TX501104"/>
    <x v="1"/>
    <x v="12"/>
    <n v="104.4"/>
    <n v="417.6"/>
    <d v="2025-02-13T00:00:00"/>
    <d v="2025-02-13T00:00:00"/>
    <s v="F"/>
    <x v="0"/>
    <x v="0"/>
    <x v="0"/>
    <x v="9"/>
    <x v="7"/>
    <x v="6"/>
    <x v="2"/>
  </r>
  <r>
    <s v="TX501105"/>
    <x v="3"/>
    <x v="0"/>
    <n v="41.6"/>
    <n v="41.6"/>
    <d v="2025-02-13T00:00:00"/>
    <d v="2025-02-16T00:00:00"/>
    <s v="M"/>
    <x v="3"/>
    <x v="0"/>
    <x v="0"/>
    <x v="11"/>
    <x v="2"/>
    <x v="6"/>
    <x v="1"/>
  </r>
  <r>
    <s v="TX501106"/>
    <x v="19"/>
    <x v="1"/>
    <n v="16.399999999999999"/>
    <n v="32.799999999999997"/>
    <d v="2025-02-13T00:00:00"/>
    <d v="2025-02-14T00:00:00"/>
    <s v="O"/>
    <x v="0"/>
    <x v="2"/>
    <x v="0"/>
    <x v="11"/>
    <x v="3"/>
    <x v="6"/>
    <x v="3"/>
  </r>
  <r>
    <s v="TX501107"/>
    <x v="8"/>
    <x v="1"/>
    <n v="22"/>
    <n v="44"/>
    <d v="2025-02-13T00:00:00"/>
    <d v="2025-02-14T00:00:00"/>
    <s v="M"/>
    <x v="2"/>
    <x v="2"/>
    <x v="0"/>
    <x v="53"/>
    <x v="3"/>
    <x v="6"/>
    <x v="1"/>
  </r>
  <r>
    <s v="TX501108"/>
    <x v="15"/>
    <x v="1"/>
    <n v="33.6"/>
    <n v="67.2"/>
    <d v="2025-02-13T00:00:00"/>
    <d v="2025-02-18T00:00:00"/>
    <s v="F"/>
    <x v="0"/>
    <x v="0"/>
    <x v="0"/>
    <x v="21"/>
    <x v="0"/>
    <x v="6"/>
    <x v="2"/>
  </r>
  <r>
    <s v="TX501109"/>
    <x v="11"/>
    <x v="13"/>
    <n v="43"/>
    <n v="258"/>
    <d v="2025-02-13T00:00:00"/>
    <d v="2025-02-14T00:00:00"/>
    <s v="F"/>
    <x v="2"/>
    <x v="0"/>
    <x v="0"/>
    <x v="21"/>
    <x v="3"/>
    <x v="6"/>
    <x v="2"/>
  </r>
  <r>
    <s v="TX501110"/>
    <x v="6"/>
    <x v="9"/>
    <n v="108.8"/>
    <n v="544"/>
    <d v="2025-02-13T00:00:00"/>
    <d v="2025-02-16T00:00:00"/>
    <s v="F"/>
    <x v="4"/>
    <x v="2"/>
    <x v="0"/>
    <x v="21"/>
    <x v="2"/>
    <x v="6"/>
    <x v="2"/>
  </r>
  <r>
    <s v="TX501111"/>
    <x v="0"/>
    <x v="11"/>
    <n v="29.3"/>
    <n v="263.7"/>
    <d v="2025-02-13T00:00:00"/>
    <d v="2025-02-15T00:00:00"/>
    <s v="M"/>
    <x v="4"/>
    <x v="2"/>
    <x v="0"/>
    <x v="21"/>
    <x v="1"/>
    <x v="6"/>
    <x v="1"/>
  </r>
  <r>
    <s v="TX501112"/>
    <x v="2"/>
    <x v="0"/>
    <n v="122.7"/>
    <n v="122.7"/>
    <d v="2025-02-13T00:00:00"/>
    <d v="2025-02-16T00:00:00"/>
    <s v="O"/>
    <x v="0"/>
    <x v="2"/>
    <x v="0"/>
    <x v="1"/>
    <x v="2"/>
    <x v="6"/>
    <x v="3"/>
  </r>
  <r>
    <s v="TX501113"/>
    <x v="4"/>
    <x v="3"/>
    <n v="22.9"/>
    <n v="160.29999999999998"/>
    <d v="2025-02-13T00:00:00"/>
    <d v="2025-02-14T00:00:00"/>
    <s v="F"/>
    <x v="0"/>
    <x v="0"/>
    <x v="0"/>
    <x v="42"/>
    <x v="3"/>
    <x v="6"/>
    <x v="2"/>
  </r>
  <r>
    <s v="TX501114"/>
    <x v="8"/>
    <x v="7"/>
    <n v="25.5"/>
    <n v="255"/>
    <d v="2025-02-13T00:00:00"/>
    <d v="2025-02-20T00:00:00"/>
    <s v="F"/>
    <x v="0"/>
    <x v="0"/>
    <x v="0"/>
    <x v="33"/>
    <x v="6"/>
    <x v="6"/>
    <x v="2"/>
  </r>
  <r>
    <s v="TX501115"/>
    <x v="17"/>
    <x v="2"/>
    <n v="23.4"/>
    <n v="70.199999999999989"/>
    <d v="2025-02-13T00:00:00"/>
    <d v="2025-02-17T00:00:00"/>
    <s v="F"/>
    <x v="0"/>
    <x v="2"/>
    <x v="0"/>
    <x v="3"/>
    <x v="5"/>
    <x v="6"/>
    <x v="2"/>
  </r>
  <r>
    <s v="TX501116"/>
    <x v="5"/>
    <x v="8"/>
    <n v="27.4"/>
    <n v="219.2"/>
    <d v="2025-02-13T00:00:00"/>
    <d v="2025-02-16T00:00:00"/>
    <s v="F"/>
    <x v="2"/>
    <x v="0"/>
    <x v="0"/>
    <x v="3"/>
    <x v="2"/>
    <x v="6"/>
    <x v="2"/>
  </r>
  <r>
    <s v="TX501117"/>
    <x v="5"/>
    <x v="9"/>
    <n v="68.400000000000006"/>
    <n v="342"/>
    <d v="2025-02-13T00:00:00"/>
    <d v="2025-02-14T00:00:00"/>
    <s v="F"/>
    <x v="0"/>
    <x v="0"/>
    <x v="0"/>
    <x v="3"/>
    <x v="3"/>
    <x v="6"/>
    <x v="2"/>
  </r>
  <r>
    <s v="TX501118"/>
    <x v="6"/>
    <x v="0"/>
    <n v="51.9"/>
    <n v="51.9"/>
    <d v="2025-02-13T00:00:00"/>
    <d v="2025-02-13T00:00:00"/>
    <s v="F"/>
    <x v="0"/>
    <x v="0"/>
    <x v="0"/>
    <x v="3"/>
    <x v="7"/>
    <x v="6"/>
    <x v="2"/>
  </r>
  <r>
    <s v="TX501119"/>
    <x v="0"/>
    <x v="9"/>
    <n v="26.4"/>
    <n v="132"/>
    <d v="2025-02-13T00:00:00"/>
    <d v="2025-02-16T00:00:00"/>
    <s v="F"/>
    <x v="0"/>
    <x v="2"/>
    <x v="0"/>
    <x v="3"/>
    <x v="2"/>
    <x v="6"/>
    <x v="2"/>
  </r>
  <r>
    <s v="TX501120"/>
    <x v="12"/>
    <x v="1"/>
    <n v="117"/>
    <n v="234"/>
    <d v="2025-02-13T00:00:00"/>
    <d v="2025-02-14T00:00:00"/>
    <s v="F"/>
    <x v="1"/>
    <x v="1"/>
    <x v="0"/>
    <x v="3"/>
    <x v="3"/>
    <x v="6"/>
    <x v="2"/>
  </r>
  <r>
    <s v="TX501121"/>
    <x v="7"/>
    <x v="2"/>
    <n v="49.6"/>
    <n v="148.80000000000001"/>
    <d v="2025-02-14T00:00:00"/>
    <d v="2025-02-16T00:00:00"/>
    <s v="F"/>
    <x v="0"/>
    <x v="0"/>
    <x v="0"/>
    <x v="3"/>
    <x v="1"/>
    <x v="6"/>
    <x v="2"/>
  </r>
  <r>
    <s v="TX501122"/>
    <x v="4"/>
    <x v="2"/>
    <n v="38"/>
    <n v="114"/>
    <d v="2025-02-14T00:00:00"/>
    <d v="2025-02-17T00:00:00"/>
    <s v="M"/>
    <x v="2"/>
    <x v="4"/>
    <x v="0"/>
    <x v="3"/>
    <x v="2"/>
    <x v="6"/>
    <x v="1"/>
  </r>
  <r>
    <s v="TX501123"/>
    <x v="0"/>
    <x v="2"/>
    <n v="20.6"/>
    <n v="61.800000000000004"/>
    <d v="2025-02-14T00:00:00"/>
    <d v="2025-02-16T00:00:00"/>
    <s v="F"/>
    <x v="4"/>
    <x v="2"/>
    <x v="0"/>
    <x v="3"/>
    <x v="1"/>
    <x v="6"/>
    <x v="2"/>
  </r>
  <r>
    <s v="TX501124"/>
    <x v="0"/>
    <x v="1"/>
    <n v="16"/>
    <n v="32"/>
    <d v="2025-02-14T00:00:00"/>
    <d v="2025-02-15T00:00:00"/>
    <s v="M"/>
    <x v="1"/>
    <x v="1"/>
    <x v="0"/>
    <x v="49"/>
    <x v="3"/>
    <x v="6"/>
    <x v="1"/>
  </r>
  <r>
    <s v="TX501125"/>
    <x v="15"/>
    <x v="12"/>
    <n v="49.3"/>
    <n v="197.2"/>
    <d v="2025-02-14T00:00:00"/>
    <d v="2025-02-15T00:00:00"/>
    <s v="F"/>
    <x v="2"/>
    <x v="0"/>
    <x v="0"/>
    <x v="23"/>
    <x v="3"/>
    <x v="6"/>
    <x v="2"/>
  </r>
  <r>
    <s v="TX501126"/>
    <x v="9"/>
    <x v="1"/>
    <n v="24.1"/>
    <n v="48.2"/>
    <d v="2025-02-14T00:00:00"/>
    <d v="2025-02-18T00:00:00"/>
    <s v="F"/>
    <x v="0"/>
    <x v="0"/>
    <x v="0"/>
    <x v="6"/>
    <x v="5"/>
    <x v="6"/>
    <x v="2"/>
  </r>
  <r>
    <s v="TX501127"/>
    <x v="15"/>
    <x v="8"/>
    <n v="32.700000000000003"/>
    <n v="261.60000000000002"/>
    <d v="2025-02-14T00:00:00"/>
    <d v="2025-02-15T00:00:00"/>
    <s v="F"/>
    <x v="1"/>
    <x v="0"/>
    <x v="0"/>
    <x v="6"/>
    <x v="3"/>
    <x v="6"/>
    <x v="2"/>
  </r>
  <r>
    <s v="TX501128"/>
    <x v="6"/>
    <x v="2"/>
    <n v="74.400000000000006"/>
    <n v="223.20000000000002"/>
    <d v="2025-02-14T00:00:00"/>
    <d v="2025-02-15T00:00:00"/>
    <s v="F"/>
    <x v="3"/>
    <x v="2"/>
    <x v="0"/>
    <x v="8"/>
    <x v="3"/>
    <x v="6"/>
    <x v="2"/>
  </r>
  <r>
    <s v="TX501129"/>
    <x v="12"/>
    <x v="0"/>
    <n v="45.6"/>
    <n v="45.6"/>
    <d v="2025-02-14T00:00:00"/>
    <d v="2025-02-18T00:00:00"/>
    <s v="F"/>
    <x v="4"/>
    <x v="0"/>
    <x v="0"/>
    <x v="8"/>
    <x v="5"/>
    <x v="6"/>
    <x v="2"/>
  </r>
  <r>
    <s v="TX501130"/>
    <x v="8"/>
    <x v="8"/>
    <n v="19.600000000000001"/>
    <n v="156.80000000000001"/>
    <d v="2025-02-14T00:00:00"/>
    <d v="2025-02-27T00:00:00"/>
    <s v="F"/>
    <x v="0"/>
    <x v="0"/>
    <x v="0"/>
    <x v="8"/>
    <x v="10"/>
    <x v="6"/>
    <x v="2"/>
  </r>
  <r>
    <s v="TX501131"/>
    <x v="9"/>
    <x v="0"/>
    <n v="51.8"/>
    <n v="51.8"/>
    <d v="2025-02-14T00:00:00"/>
    <d v="2025-02-15T00:00:00"/>
    <s v="F"/>
    <x v="1"/>
    <x v="0"/>
    <x v="0"/>
    <x v="8"/>
    <x v="3"/>
    <x v="6"/>
    <x v="2"/>
  </r>
  <r>
    <s v="TX501132"/>
    <x v="6"/>
    <x v="0"/>
    <n v="74.7"/>
    <n v="74.7"/>
    <d v="2025-02-14T00:00:00"/>
    <d v="2025-02-15T00:00:00"/>
    <s v="M"/>
    <x v="0"/>
    <x v="1"/>
    <x v="0"/>
    <x v="8"/>
    <x v="3"/>
    <x v="6"/>
    <x v="1"/>
  </r>
  <r>
    <s v="TX501133"/>
    <x v="19"/>
    <x v="2"/>
    <n v="22.4"/>
    <n v="67.199999999999989"/>
    <d v="2025-02-14T00:00:00"/>
    <d v="2025-02-15T00:00:00"/>
    <s v="F"/>
    <x v="1"/>
    <x v="2"/>
    <x v="0"/>
    <x v="9"/>
    <x v="3"/>
    <x v="6"/>
    <x v="2"/>
  </r>
  <r>
    <s v="TX501134"/>
    <x v="1"/>
    <x v="12"/>
    <n v="31.4"/>
    <n v="125.6"/>
    <d v="2025-02-14T00:00:00"/>
    <d v="2025-02-15T00:00:00"/>
    <s v="F"/>
    <x v="1"/>
    <x v="0"/>
    <x v="0"/>
    <x v="9"/>
    <x v="3"/>
    <x v="6"/>
    <x v="2"/>
  </r>
  <r>
    <s v="TX501135"/>
    <x v="6"/>
    <x v="0"/>
    <n v="94"/>
    <n v="94"/>
    <d v="2025-02-14T00:00:00"/>
    <d v="2025-02-14T00:00:00"/>
    <s v="F"/>
    <x v="1"/>
    <x v="2"/>
    <x v="0"/>
    <x v="10"/>
    <x v="7"/>
    <x v="6"/>
    <x v="2"/>
  </r>
  <r>
    <s v="TX501136"/>
    <x v="10"/>
    <x v="0"/>
    <n v="22.3"/>
    <n v="22.3"/>
    <d v="2025-02-14T00:00:00"/>
    <d v="2025-02-15T00:00:00"/>
    <s v="M"/>
    <x v="4"/>
    <x v="0"/>
    <x v="0"/>
    <x v="20"/>
    <x v="3"/>
    <x v="6"/>
    <x v="1"/>
  </r>
  <r>
    <s v="TX501137"/>
    <x v="0"/>
    <x v="0"/>
    <n v="21.9"/>
    <n v="21.9"/>
    <d v="2025-02-14T00:00:00"/>
    <d v="2025-02-17T00:00:00"/>
    <s v="F"/>
    <x v="2"/>
    <x v="0"/>
    <x v="0"/>
    <x v="21"/>
    <x v="2"/>
    <x v="6"/>
    <x v="2"/>
  </r>
  <r>
    <s v="TX501138"/>
    <x v="17"/>
    <x v="2"/>
    <n v="27"/>
    <n v="81"/>
    <d v="2025-02-14T00:00:00"/>
    <d v="2025-02-16T00:00:00"/>
    <s v="F"/>
    <x v="4"/>
    <x v="2"/>
    <x v="0"/>
    <x v="2"/>
    <x v="1"/>
    <x v="6"/>
    <x v="2"/>
  </r>
  <r>
    <s v="TX501139"/>
    <x v="2"/>
    <x v="12"/>
    <n v="149.6"/>
    <n v="598.4"/>
    <d v="2025-02-14T00:00:00"/>
    <d v="2025-02-14T00:00:00"/>
    <s v="F"/>
    <x v="4"/>
    <x v="0"/>
    <x v="0"/>
    <x v="22"/>
    <x v="7"/>
    <x v="6"/>
    <x v="2"/>
  </r>
  <r>
    <s v="TX501140"/>
    <x v="2"/>
    <x v="12"/>
    <n v="129.1"/>
    <n v="516.4"/>
    <d v="2025-02-14T00:00:00"/>
    <d v="2025-02-24T00:00:00"/>
    <s v="M"/>
    <x v="0"/>
    <x v="1"/>
    <x v="0"/>
    <x v="3"/>
    <x v="14"/>
    <x v="6"/>
    <x v="1"/>
  </r>
  <r>
    <s v="TX501141"/>
    <x v="1"/>
    <x v="4"/>
    <n v="40.4"/>
    <n v="484.79999999999995"/>
    <d v="2025-02-14T00:00:00"/>
    <d v="2025-02-15T00:00:00"/>
    <s v="M"/>
    <x v="1"/>
    <x v="1"/>
    <x v="0"/>
    <x v="3"/>
    <x v="3"/>
    <x v="6"/>
    <x v="1"/>
  </r>
  <r>
    <s v="TX501142"/>
    <x v="4"/>
    <x v="2"/>
    <n v="48.5"/>
    <n v="145.5"/>
    <d v="2025-02-14T00:00:00"/>
    <d v="2025-02-16T00:00:00"/>
    <s v="F"/>
    <x v="0"/>
    <x v="4"/>
    <x v="0"/>
    <x v="3"/>
    <x v="1"/>
    <x v="6"/>
    <x v="2"/>
  </r>
  <r>
    <s v="TX501143"/>
    <x v="9"/>
    <x v="1"/>
    <n v="37.6"/>
    <n v="75.2"/>
    <d v="2025-02-14T00:00:00"/>
    <d v="2025-02-16T00:00:00"/>
    <s v="F"/>
    <x v="1"/>
    <x v="2"/>
    <x v="0"/>
    <x v="3"/>
    <x v="1"/>
    <x v="6"/>
    <x v="2"/>
  </r>
  <r>
    <s v="TX501144"/>
    <x v="8"/>
    <x v="1"/>
    <n v="19.600000000000001"/>
    <n v="39.200000000000003"/>
    <d v="2025-02-14T00:00:00"/>
    <d v="2025-02-15T00:00:00"/>
    <s v="M"/>
    <x v="3"/>
    <x v="4"/>
    <x v="0"/>
    <x v="43"/>
    <x v="3"/>
    <x v="6"/>
    <x v="1"/>
  </r>
  <r>
    <s v="TX501145"/>
    <x v="8"/>
    <x v="9"/>
    <n v="18.5"/>
    <n v="92.5"/>
    <d v="2025-02-14T00:00:00"/>
    <d v="2025-02-15T00:00:00"/>
    <s v="F"/>
    <x v="2"/>
    <x v="1"/>
    <x v="0"/>
    <x v="6"/>
    <x v="3"/>
    <x v="6"/>
    <x v="2"/>
  </r>
  <r>
    <s v="TX501146"/>
    <x v="5"/>
    <x v="2"/>
    <n v="25.5"/>
    <n v="76.5"/>
    <d v="2025-02-14T00:00:00"/>
    <d v="2025-02-16T00:00:00"/>
    <s v="F"/>
    <x v="4"/>
    <x v="1"/>
    <x v="0"/>
    <x v="6"/>
    <x v="1"/>
    <x v="6"/>
    <x v="2"/>
  </r>
  <r>
    <s v="TX501147"/>
    <x v="2"/>
    <x v="1"/>
    <n v="94.7"/>
    <n v="189.4"/>
    <d v="2025-02-14T00:00:00"/>
    <d v="2025-02-15T00:00:00"/>
    <s v="F"/>
    <x v="2"/>
    <x v="0"/>
    <x v="0"/>
    <x v="36"/>
    <x v="3"/>
    <x v="6"/>
    <x v="2"/>
  </r>
  <r>
    <s v="TX501148"/>
    <x v="1"/>
    <x v="13"/>
    <n v="38.799999999999997"/>
    <n v="232.79999999999998"/>
    <d v="2025-02-14T00:00:00"/>
    <d v="2025-02-19T00:00:00"/>
    <s v="F"/>
    <x v="2"/>
    <x v="2"/>
    <x v="0"/>
    <x v="8"/>
    <x v="0"/>
    <x v="6"/>
    <x v="2"/>
  </r>
  <r>
    <s v="TX501149"/>
    <x v="9"/>
    <x v="1"/>
    <n v="49.4"/>
    <n v="98.8"/>
    <d v="2025-02-15T00:00:00"/>
    <d v="2025-02-23T00:00:00"/>
    <s v="M"/>
    <x v="4"/>
    <x v="1"/>
    <x v="0"/>
    <x v="8"/>
    <x v="9"/>
    <x v="6"/>
    <x v="1"/>
  </r>
  <r>
    <s v="TX501150"/>
    <x v="7"/>
    <x v="2"/>
    <n v="68"/>
    <n v="204"/>
    <d v="2025-02-15T00:00:00"/>
    <d v="2025-02-18T00:00:00"/>
    <s v="M"/>
    <x v="0"/>
    <x v="2"/>
    <x v="0"/>
    <x v="8"/>
    <x v="2"/>
    <x v="6"/>
    <x v="1"/>
  </r>
  <r>
    <s v="TX501151"/>
    <x v="15"/>
    <x v="3"/>
    <n v="63.7"/>
    <n v="445.90000000000003"/>
    <d v="2025-02-15T00:00:00"/>
    <d v="2025-02-16T00:00:00"/>
    <s v="F"/>
    <x v="2"/>
    <x v="2"/>
    <x v="0"/>
    <x v="8"/>
    <x v="3"/>
    <x v="6"/>
    <x v="2"/>
  </r>
  <r>
    <s v="TX501152"/>
    <x v="10"/>
    <x v="1"/>
    <n v="66.2"/>
    <n v="132.4"/>
    <d v="2025-02-15T00:00:00"/>
    <d v="2025-02-16T00:00:00"/>
    <s v="F"/>
    <x v="4"/>
    <x v="2"/>
    <x v="0"/>
    <x v="17"/>
    <x v="3"/>
    <x v="6"/>
    <x v="2"/>
  </r>
  <r>
    <s v="TX501153"/>
    <x v="12"/>
    <x v="2"/>
    <n v="32.299999999999997"/>
    <n v="96.899999999999991"/>
    <d v="2025-02-15T00:00:00"/>
    <d v="2025-02-16T00:00:00"/>
    <s v="O"/>
    <x v="2"/>
    <x v="1"/>
    <x v="0"/>
    <x v="9"/>
    <x v="3"/>
    <x v="6"/>
    <x v="3"/>
  </r>
  <r>
    <s v="TX501154"/>
    <x v="4"/>
    <x v="1"/>
    <n v="66.900000000000006"/>
    <n v="133.80000000000001"/>
    <d v="2025-02-15T00:00:00"/>
    <d v="2025-02-18T00:00:00"/>
    <s v="M"/>
    <x v="1"/>
    <x v="0"/>
    <x v="0"/>
    <x v="11"/>
    <x v="2"/>
    <x v="6"/>
    <x v="1"/>
  </r>
  <r>
    <s v="TX501155"/>
    <x v="4"/>
    <x v="4"/>
    <n v="25.2"/>
    <n v="302.39999999999998"/>
    <d v="2025-02-15T00:00:00"/>
    <d v="2025-02-19T00:00:00"/>
    <s v="F"/>
    <x v="0"/>
    <x v="1"/>
    <x v="0"/>
    <x v="11"/>
    <x v="5"/>
    <x v="6"/>
    <x v="2"/>
  </r>
  <r>
    <s v="TX501156"/>
    <x v="10"/>
    <x v="13"/>
    <n v="29.5"/>
    <n v="177"/>
    <d v="2025-02-15T00:00:00"/>
    <d v="2025-02-16T00:00:00"/>
    <s v="M"/>
    <x v="2"/>
    <x v="0"/>
    <x v="0"/>
    <x v="11"/>
    <x v="3"/>
    <x v="6"/>
    <x v="1"/>
  </r>
  <r>
    <s v="TX501157"/>
    <x v="8"/>
    <x v="9"/>
    <n v="21.6"/>
    <n v="108"/>
    <d v="2025-02-15T00:00:00"/>
    <d v="2025-02-17T00:00:00"/>
    <s v="F"/>
    <x v="0"/>
    <x v="2"/>
    <x v="0"/>
    <x v="32"/>
    <x v="1"/>
    <x v="6"/>
    <x v="2"/>
  </r>
  <r>
    <s v="TX501158"/>
    <x v="12"/>
    <x v="2"/>
    <n v="69"/>
    <n v="207"/>
    <d v="2025-02-15T00:00:00"/>
    <d v="2025-02-16T00:00:00"/>
    <s v="F"/>
    <x v="0"/>
    <x v="0"/>
    <x v="0"/>
    <x v="18"/>
    <x v="3"/>
    <x v="6"/>
    <x v="2"/>
  </r>
  <r>
    <s v="TX501159"/>
    <x v="7"/>
    <x v="1"/>
    <n v="115"/>
    <n v="230"/>
    <d v="2025-02-15T00:00:00"/>
    <d v="2025-02-19T00:00:00"/>
    <s v="M"/>
    <x v="0"/>
    <x v="2"/>
    <x v="0"/>
    <x v="18"/>
    <x v="5"/>
    <x v="6"/>
    <x v="1"/>
  </r>
  <r>
    <s v="TX501160"/>
    <x v="2"/>
    <x v="1"/>
    <n v="109.3"/>
    <n v="218.6"/>
    <d v="2025-02-15T00:00:00"/>
    <d v="2025-02-17T00:00:00"/>
    <s v=""/>
    <x v="3"/>
    <x v="1"/>
    <x v="0"/>
    <x v="19"/>
    <x v="1"/>
    <x v="6"/>
    <x v="0"/>
  </r>
  <r>
    <s v="TX501161"/>
    <x v="9"/>
    <x v="1"/>
    <n v="66.599999999999994"/>
    <n v="133.19999999999999"/>
    <d v="2025-02-15T00:00:00"/>
    <d v="2025-02-18T00:00:00"/>
    <s v=""/>
    <x v="4"/>
    <x v="1"/>
    <x v="0"/>
    <x v="19"/>
    <x v="2"/>
    <x v="6"/>
    <x v="0"/>
  </r>
  <r>
    <s v="TX501162"/>
    <x v="12"/>
    <x v="9"/>
    <n v="47.7"/>
    <n v="238.5"/>
    <d v="2025-02-15T00:00:00"/>
    <d v="2025-02-16T00:00:00"/>
    <s v="M"/>
    <x v="3"/>
    <x v="2"/>
    <x v="0"/>
    <x v="21"/>
    <x v="3"/>
    <x v="6"/>
    <x v="1"/>
  </r>
  <r>
    <s v="TX501163"/>
    <x v="8"/>
    <x v="1"/>
    <n v="46"/>
    <n v="92"/>
    <d v="2025-02-15T00:00:00"/>
    <d v="2025-02-16T00:00:00"/>
    <s v="F"/>
    <x v="4"/>
    <x v="4"/>
    <x v="0"/>
    <x v="22"/>
    <x v="3"/>
    <x v="6"/>
    <x v="2"/>
  </r>
  <r>
    <s v="TX501164"/>
    <x v="1"/>
    <x v="13"/>
    <n v="39.299999999999997"/>
    <n v="235.79999999999998"/>
    <d v="2025-02-15T00:00:00"/>
    <d v="2025-02-17T00:00:00"/>
    <s v="M"/>
    <x v="3"/>
    <x v="2"/>
    <x v="0"/>
    <x v="3"/>
    <x v="1"/>
    <x v="6"/>
    <x v="1"/>
  </r>
  <r>
    <s v="TX501165"/>
    <x v="9"/>
    <x v="0"/>
    <n v="70.2"/>
    <n v="70.2"/>
    <d v="2025-02-15T00:00:00"/>
    <d v="2025-02-16T00:00:00"/>
    <s v="F"/>
    <x v="0"/>
    <x v="4"/>
    <x v="0"/>
    <x v="3"/>
    <x v="3"/>
    <x v="6"/>
    <x v="2"/>
  </r>
  <r>
    <s v="TX501166"/>
    <x v="3"/>
    <x v="12"/>
    <n v="71.5"/>
    <n v="286"/>
    <d v="2025-02-15T00:00:00"/>
    <d v="2025-02-15T00:00:00"/>
    <s v="F"/>
    <x v="1"/>
    <x v="2"/>
    <x v="0"/>
    <x v="3"/>
    <x v="7"/>
    <x v="6"/>
    <x v="2"/>
  </r>
  <r>
    <s v="TX501167"/>
    <x v="10"/>
    <x v="3"/>
    <n v="31"/>
    <n v="217"/>
    <d v="2025-02-15T00:00:00"/>
    <d v="2025-02-22T00:00:00"/>
    <s v="F"/>
    <x v="3"/>
    <x v="2"/>
    <x v="0"/>
    <x v="3"/>
    <x v="6"/>
    <x v="6"/>
    <x v="2"/>
  </r>
  <r>
    <s v="TX501168"/>
    <x v="2"/>
    <x v="9"/>
    <n v="68.2"/>
    <n v="341"/>
    <d v="2025-02-15T00:00:00"/>
    <d v="2025-02-20T00:00:00"/>
    <s v="F"/>
    <x v="0"/>
    <x v="2"/>
    <x v="0"/>
    <x v="3"/>
    <x v="0"/>
    <x v="6"/>
    <x v="2"/>
  </r>
  <r>
    <s v="TX501169"/>
    <x v="2"/>
    <x v="0"/>
    <n v="91.4"/>
    <n v="91.4"/>
    <d v="2025-02-15T00:00:00"/>
    <d v="2025-02-19T00:00:00"/>
    <s v="F"/>
    <x v="1"/>
    <x v="2"/>
    <x v="0"/>
    <x v="6"/>
    <x v="5"/>
    <x v="6"/>
    <x v="2"/>
  </r>
  <r>
    <s v="TX501170"/>
    <x v="6"/>
    <x v="7"/>
    <n v="112.9"/>
    <n v="1129"/>
    <d v="2025-02-15T00:00:00"/>
    <d v="2025-02-16T00:00:00"/>
    <s v="F"/>
    <x v="0"/>
    <x v="0"/>
    <x v="0"/>
    <x v="6"/>
    <x v="3"/>
    <x v="6"/>
    <x v="2"/>
  </r>
  <r>
    <s v="TX501171"/>
    <x v="17"/>
    <x v="11"/>
    <n v="33.700000000000003"/>
    <n v="303.3"/>
    <d v="2025-02-15T00:00:00"/>
    <d v="2025-02-16T00:00:00"/>
    <s v="F"/>
    <x v="1"/>
    <x v="2"/>
    <x v="0"/>
    <x v="8"/>
    <x v="3"/>
    <x v="6"/>
    <x v="2"/>
  </r>
  <r>
    <s v="TX501172"/>
    <x v="15"/>
    <x v="7"/>
    <n v="35.299999999999997"/>
    <n v="353"/>
    <d v="2025-02-15T00:00:00"/>
    <d v="2025-02-17T00:00:00"/>
    <s v="M"/>
    <x v="2"/>
    <x v="0"/>
    <x v="0"/>
    <x v="8"/>
    <x v="1"/>
    <x v="6"/>
    <x v="1"/>
  </r>
  <r>
    <s v="TX501173"/>
    <x v="18"/>
    <x v="2"/>
    <n v="45.6"/>
    <n v="136.80000000000001"/>
    <d v="2025-02-15T00:00:00"/>
    <d v="2025-02-19T00:00:00"/>
    <s v="M"/>
    <x v="3"/>
    <x v="0"/>
    <x v="0"/>
    <x v="8"/>
    <x v="5"/>
    <x v="6"/>
    <x v="1"/>
  </r>
  <r>
    <s v="TX501174"/>
    <x v="7"/>
    <x v="3"/>
    <n v="47.1"/>
    <n v="329.7"/>
    <d v="2025-02-15T00:00:00"/>
    <d v="2025-02-16T00:00:00"/>
    <s v="F"/>
    <x v="4"/>
    <x v="2"/>
    <x v="0"/>
    <x v="9"/>
    <x v="3"/>
    <x v="6"/>
    <x v="2"/>
  </r>
  <r>
    <s v="TX501175"/>
    <x v="8"/>
    <x v="9"/>
    <n v="16.2"/>
    <n v="81"/>
    <d v="2025-02-15T00:00:00"/>
    <d v="2025-02-17T00:00:00"/>
    <s v="F"/>
    <x v="3"/>
    <x v="2"/>
    <x v="0"/>
    <x v="19"/>
    <x v="1"/>
    <x v="6"/>
    <x v="2"/>
  </r>
  <r>
    <s v="TX501176"/>
    <x v="1"/>
    <x v="1"/>
    <n v="159.69999999999999"/>
    <n v="319.39999999999998"/>
    <d v="2025-02-16T00:00:00"/>
    <d v="2025-02-17T00:00:00"/>
    <s v="M"/>
    <x v="4"/>
    <x v="0"/>
    <x v="0"/>
    <x v="13"/>
    <x v="3"/>
    <x v="7"/>
    <x v="1"/>
  </r>
  <r>
    <s v="TX501177"/>
    <x v="8"/>
    <x v="12"/>
    <n v="19"/>
    <n v="76"/>
    <d v="2025-02-16T00:00:00"/>
    <d v="2025-02-23T00:00:00"/>
    <s v="F"/>
    <x v="2"/>
    <x v="2"/>
    <x v="0"/>
    <x v="21"/>
    <x v="6"/>
    <x v="7"/>
    <x v="2"/>
  </r>
  <r>
    <s v="TX501178"/>
    <x v="6"/>
    <x v="13"/>
    <n v="91.1"/>
    <n v="546.59999999999991"/>
    <d v="2025-02-16T00:00:00"/>
    <d v="2025-02-25T00:00:00"/>
    <s v="F"/>
    <x v="4"/>
    <x v="0"/>
    <x v="0"/>
    <x v="21"/>
    <x v="8"/>
    <x v="7"/>
    <x v="2"/>
  </r>
  <r>
    <s v="TX501179"/>
    <x v="2"/>
    <x v="9"/>
    <n v="94.1"/>
    <n v="470.5"/>
    <d v="2025-02-16T00:00:00"/>
    <d v="2025-02-19T00:00:00"/>
    <s v=""/>
    <x v="1"/>
    <x v="1"/>
    <x v="0"/>
    <x v="21"/>
    <x v="2"/>
    <x v="7"/>
    <x v="0"/>
  </r>
  <r>
    <s v="TX501180"/>
    <x v="9"/>
    <x v="11"/>
    <n v="21.1"/>
    <n v="189.9"/>
    <d v="2025-02-16T00:00:00"/>
    <d v="2025-02-17T00:00:00"/>
    <s v="F"/>
    <x v="4"/>
    <x v="2"/>
    <x v="0"/>
    <x v="51"/>
    <x v="3"/>
    <x v="7"/>
    <x v="2"/>
  </r>
  <r>
    <s v="TX501181"/>
    <x v="8"/>
    <x v="3"/>
    <n v="15.3"/>
    <n v="107.10000000000001"/>
    <d v="2025-02-16T00:00:00"/>
    <d v="2025-02-24T00:00:00"/>
    <s v="F"/>
    <x v="2"/>
    <x v="0"/>
    <x v="0"/>
    <x v="1"/>
    <x v="9"/>
    <x v="7"/>
    <x v="2"/>
  </r>
  <r>
    <s v="TX501182"/>
    <x v="15"/>
    <x v="12"/>
    <n v="21.3"/>
    <n v="85.2"/>
    <d v="2025-02-16T00:00:00"/>
    <d v="2025-02-19T00:00:00"/>
    <s v="M"/>
    <x v="1"/>
    <x v="0"/>
    <x v="0"/>
    <x v="3"/>
    <x v="2"/>
    <x v="7"/>
    <x v="1"/>
  </r>
  <r>
    <s v="TX501183"/>
    <x v="0"/>
    <x v="1"/>
    <n v="23.2"/>
    <n v="46.4"/>
    <d v="2025-02-16T00:00:00"/>
    <d v="2025-02-16T00:00:00"/>
    <s v=""/>
    <x v="3"/>
    <x v="1"/>
    <x v="0"/>
    <x v="3"/>
    <x v="7"/>
    <x v="7"/>
    <x v="0"/>
  </r>
  <r>
    <s v="TX501184"/>
    <x v="4"/>
    <x v="2"/>
    <n v="25.7"/>
    <n v="77.099999999999994"/>
    <d v="2025-02-16T00:00:00"/>
    <d v="2025-02-17T00:00:00"/>
    <s v="M"/>
    <x v="4"/>
    <x v="0"/>
    <x v="0"/>
    <x v="3"/>
    <x v="3"/>
    <x v="7"/>
    <x v="1"/>
  </r>
  <r>
    <s v="TX501185"/>
    <x v="0"/>
    <x v="11"/>
    <n v="31.6"/>
    <n v="284.40000000000003"/>
    <d v="2025-02-16T00:00:00"/>
    <d v="2025-02-18T00:00:00"/>
    <s v="F"/>
    <x v="0"/>
    <x v="0"/>
    <x v="0"/>
    <x v="3"/>
    <x v="1"/>
    <x v="7"/>
    <x v="2"/>
  </r>
  <r>
    <s v="TX501186"/>
    <x v="6"/>
    <x v="0"/>
    <n v="64.2"/>
    <n v="64.2"/>
    <d v="2025-02-16T00:00:00"/>
    <d v="2025-02-21T00:00:00"/>
    <s v="M"/>
    <x v="0"/>
    <x v="0"/>
    <x v="0"/>
    <x v="3"/>
    <x v="0"/>
    <x v="7"/>
    <x v="1"/>
  </r>
  <r>
    <s v="TX501187"/>
    <x v="8"/>
    <x v="1"/>
    <n v="55.8"/>
    <n v="111.6"/>
    <d v="2025-02-16T00:00:00"/>
    <d v="2025-02-18T00:00:00"/>
    <s v=""/>
    <x v="0"/>
    <x v="0"/>
    <x v="0"/>
    <x v="3"/>
    <x v="1"/>
    <x v="7"/>
    <x v="0"/>
  </r>
  <r>
    <s v="TX501188"/>
    <x v="8"/>
    <x v="1"/>
    <n v="28.1"/>
    <n v="56.2"/>
    <d v="2025-02-16T00:00:00"/>
    <d v="2025-02-17T00:00:00"/>
    <s v="F"/>
    <x v="4"/>
    <x v="1"/>
    <x v="0"/>
    <x v="3"/>
    <x v="3"/>
    <x v="7"/>
    <x v="2"/>
  </r>
  <r>
    <s v="TX501189"/>
    <x v="0"/>
    <x v="1"/>
    <n v="11.6"/>
    <n v="23.2"/>
    <d v="2025-02-16T00:00:00"/>
    <d v="2025-02-18T00:00:00"/>
    <s v="F"/>
    <x v="1"/>
    <x v="0"/>
    <x v="0"/>
    <x v="24"/>
    <x v="1"/>
    <x v="7"/>
    <x v="2"/>
  </r>
  <r>
    <s v="TX501190"/>
    <x v="5"/>
    <x v="2"/>
    <n v="50.4"/>
    <n v="151.19999999999999"/>
    <d v="2025-02-16T00:00:00"/>
    <d v="2025-02-17T00:00:00"/>
    <s v="M"/>
    <x v="4"/>
    <x v="2"/>
    <x v="0"/>
    <x v="25"/>
    <x v="3"/>
    <x v="7"/>
    <x v="1"/>
  </r>
  <r>
    <s v="TX501191"/>
    <x v="6"/>
    <x v="13"/>
    <n v="48.3"/>
    <n v="289.79999999999995"/>
    <d v="2025-02-16T00:00:00"/>
    <d v="2025-02-20T00:00:00"/>
    <s v="F"/>
    <x v="0"/>
    <x v="0"/>
    <x v="0"/>
    <x v="25"/>
    <x v="5"/>
    <x v="7"/>
    <x v="2"/>
  </r>
  <r>
    <s v="TX501192"/>
    <x v="17"/>
    <x v="3"/>
    <n v="32.200000000000003"/>
    <n v="225.40000000000003"/>
    <d v="2025-02-16T00:00:00"/>
    <d v="2025-02-18T00:00:00"/>
    <s v="F"/>
    <x v="2"/>
    <x v="0"/>
    <x v="0"/>
    <x v="25"/>
    <x v="1"/>
    <x v="7"/>
    <x v="2"/>
  </r>
  <r>
    <s v="TX501193"/>
    <x v="7"/>
    <x v="31"/>
    <n v="48.5"/>
    <n v="1358"/>
    <d v="2025-02-16T00:00:00"/>
    <d v="2025-02-17T00:00:00"/>
    <s v="M"/>
    <x v="0"/>
    <x v="0"/>
    <x v="0"/>
    <x v="5"/>
    <x v="3"/>
    <x v="7"/>
    <x v="1"/>
  </r>
  <r>
    <s v="TX501194"/>
    <x v="2"/>
    <x v="9"/>
    <n v="62"/>
    <n v="310"/>
    <d v="2025-02-16T00:00:00"/>
    <d v="2025-02-19T00:00:00"/>
    <s v="F"/>
    <x v="1"/>
    <x v="0"/>
    <x v="0"/>
    <x v="6"/>
    <x v="2"/>
    <x v="7"/>
    <x v="2"/>
  </r>
  <r>
    <s v="TX501195"/>
    <x v="8"/>
    <x v="2"/>
    <n v="32.1"/>
    <n v="96.300000000000011"/>
    <d v="2025-02-17T00:00:00"/>
    <d v="2025-02-19T00:00:00"/>
    <s v="M"/>
    <x v="0"/>
    <x v="0"/>
    <x v="0"/>
    <x v="6"/>
    <x v="1"/>
    <x v="7"/>
    <x v="1"/>
  </r>
  <r>
    <s v="TX501196"/>
    <x v="12"/>
    <x v="2"/>
    <n v="106.1"/>
    <n v="318.29999999999995"/>
    <d v="2025-02-17T00:00:00"/>
    <d v="2025-02-19T00:00:00"/>
    <s v="M"/>
    <x v="0"/>
    <x v="1"/>
    <x v="0"/>
    <x v="7"/>
    <x v="1"/>
    <x v="7"/>
    <x v="1"/>
  </r>
  <r>
    <s v="TX501197"/>
    <x v="10"/>
    <x v="2"/>
    <n v="23.5"/>
    <n v="70.5"/>
    <d v="2025-02-17T00:00:00"/>
    <d v="2025-02-20T00:00:00"/>
    <s v="M"/>
    <x v="0"/>
    <x v="4"/>
    <x v="0"/>
    <x v="7"/>
    <x v="2"/>
    <x v="7"/>
    <x v="1"/>
  </r>
  <r>
    <s v="TX501198"/>
    <x v="1"/>
    <x v="1"/>
    <n v="35.6"/>
    <n v="71.2"/>
    <d v="2025-02-17T00:00:00"/>
    <d v="2025-02-22T00:00:00"/>
    <s v="M"/>
    <x v="4"/>
    <x v="0"/>
    <x v="0"/>
    <x v="8"/>
    <x v="0"/>
    <x v="7"/>
    <x v="1"/>
  </r>
  <r>
    <s v="TX501199"/>
    <x v="1"/>
    <x v="1"/>
    <n v="63.5"/>
    <n v="127"/>
    <d v="2025-02-17T00:00:00"/>
    <d v="2025-02-17T00:00:00"/>
    <s v="F"/>
    <x v="1"/>
    <x v="2"/>
    <x v="0"/>
    <x v="8"/>
    <x v="7"/>
    <x v="7"/>
    <x v="2"/>
  </r>
  <r>
    <s v="TX501200"/>
    <x v="6"/>
    <x v="3"/>
    <n v="82.9"/>
    <n v="580.30000000000007"/>
    <d v="2025-02-17T00:00:00"/>
    <d v="2025-02-22T00:00:00"/>
    <s v="F"/>
    <x v="4"/>
    <x v="0"/>
    <x v="0"/>
    <x v="9"/>
    <x v="0"/>
    <x v="7"/>
    <x v="2"/>
  </r>
  <r>
    <s v="TX501201"/>
    <x v="6"/>
    <x v="1"/>
    <n v="83.6"/>
    <n v="167.2"/>
    <d v="2025-02-17T00:00:00"/>
    <d v="2025-02-22T00:00:00"/>
    <s v="F"/>
    <x v="0"/>
    <x v="0"/>
    <x v="0"/>
    <x v="11"/>
    <x v="0"/>
    <x v="7"/>
    <x v="2"/>
  </r>
  <r>
    <s v="TX501202"/>
    <x v="4"/>
    <x v="1"/>
    <n v="29.4"/>
    <n v="58.8"/>
    <d v="2025-02-17T00:00:00"/>
    <d v="2025-02-17T00:00:00"/>
    <s v="F"/>
    <x v="0"/>
    <x v="1"/>
    <x v="0"/>
    <x v="30"/>
    <x v="7"/>
    <x v="7"/>
    <x v="2"/>
  </r>
  <r>
    <s v="TX501203"/>
    <x v="2"/>
    <x v="2"/>
    <n v="107.1"/>
    <n v="321.29999999999995"/>
    <d v="2025-02-17T00:00:00"/>
    <d v="2025-02-21T00:00:00"/>
    <s v="F"/>
    <x v="2"/>
    <x v="0"/>
    <x v="0"/>
    <x v="20"/>
    <x v="5"/>
    <x v="7"/>
    <x v="2"/>
  </r>
  <r>
    <s v="TX501204"/>
    <x v="2"/>
    <x v="0"/>
    <n v="62.7"/>
    <n v="62.7"/>
    <d v="2025-02-17T00:00:00"/>
    <d v="2025-02-21T00:00:00"/>
    <s v="M"/>
    <x v="1"/>
    <x v="0"/>
    <x v="0"/>
    <x v="21"/>
    <x v="5"/>
    <x v="7"/>
    <x v="1"/>
  </r>
  <r>
    <s v="TX501205"/>
    <x v="11"/>
    <x v="0"/>
    <n v="41.6"/>
    <n v="41.6"/>
    <d v="2025-02-17T00:00:00"/>
    <d v="2025-02-18T00:00:00"/>
    <s v="M"/>
    <x v="0"/>
    <x v="1"/>
    <x v="0"/>
    <x v="1"/>
    <x v="3"/>
    <x v="7"/>
    <x v="1"/>
  </r>
  <r>
    <s v="TX501206"/>
    <x v="6"/>
    <x v="0"/>
    <n v="44.2"/>
    <n v="44.2"/>
    <d v="2025-02-17T00:00:00"/>
    <d v="2025-02-18T00:00:00"/>
    <s v="O"/>
    <x v="0"/>
    <x v="1"/>
    <x v="0"/>
    <x v="1"/>
    <x v="3"/>
    <x v="7"/>
    <x v="3"/>
  </r>
  <r>
    <s v="TX501207"/>
    <x v="4"/>
    <x v="13"/>
    <n v="40.4"/>
    <n v="242.39999999999998"/>
    <d v="2025-02-17T00:00:00"/>
    <d v="2025-03-02T00:00:00"/>
    <s v="F"/>
    <x v="2"/>
    <x v="0"/>
    <x v="0"/>
    <x v="22"/>
    <x v="10"/>
    <x v="7"/>
    <x v="2"/>
  </r>
  <r>
    <s v="TX501208"/>
    <x v="15"/>
    <x v="13"/>
    <n v="59.6"/>
    <n v="357.6"/>
    <d v="2025-02-17T00:00:00"/>
    <d v="2025-02-18T00:00:00"/>
    <s v="F"/>
    <x v="4"/>
    <x v="0"/>
    <x v="0"/>
    <x v="34"/>
    <x v="3"/>
    <x v="7"/>
    <x v="2"/>
  </r>
  <r>
    <s v="TX501209"/>
    <x v="17"/>
    <x v="4"/>
    <n v="63.8"/>
    <n v="765.59999999999991"/>
    <d v="2025-02-17T00:00:00"/>
    <d v="2025-02-18T00:00:00"/>
    <s v="M"/>
    <x v="1"/>
    <x v="0"/>
    <x v="0"/>
    <x v="3"/>
    <x v="3"/>
    <x v="7"/>
    <x v="1"/>
  </r>
  <r>
    <s v="TX501210"/>
    <x v="9"/>
    <x v="13"/>
    <n v="30.8"/>
    <n v="184.8"/>
    <d v="2025-02-17T00:00:00"/>
    <d v="2025-02-19T00:00:00"/>
    <s v="M"/>
    <x v="4"/>
    <x v="0"/>
    <x v="0"/>
    <x v="3"/>
    <x v="1"/>
    <x v="7"/>
    <x v="1"/>
  </r>
  <r>
    <s v="TX501211"/>
    <x v="1"/>
    <x v="1"/>
    <n v="41.5"/>
    <n v="83"/>
    <d v="2025-02-17T00:00:00"/>
    <d v="2025-02-20T00:00:00"/>
    <s v="O"/>
    <x v="0"/>
    <x v="0"/>
    <x v="0"/>
    <x v="3"/>
    <x v="2"/>
    <x v="7"/>
    <x v="3"/>
  </r>
  <r>
    <s v="TX501212"/>
    <x v="10"/>
    <x v="12"/>
    <n v="44.7"/>
    <n v="178.8"/>
    <d v="2025-02-17T00:00:00"/>
    <d v="2025-02-19T00:00:00"/>
    <s v="F"/>
    <x v="2"/>
    <x v="1"/>
    <x v="0"/>
    <x v="3"/>
    <x v="1"/>
    <x v="7"/>
    <x v="2"/>
  </r>
  <r>
    <s v="TX501213"/>
    <x v="12"/>
    <x v="1"/>
    <n v="64.099999999999994"/>
    <n v="128.19999999999999"/>
    <d v="2025-02-17T00:00:00"/>
    <d v="2025-02-21T00:00:00"/>
    <s v="F"/>
    <x v="1"/>
    <x v="4"/>
    <x v="0"/>
    <x v="3"/>
    <x v="5"/>
    <x v="7"/>
    <x v="2"/>
  </r>
  <r>
    <s v="TX501214"/>
    <x v="8"/>
    <x v="0"/>
    <n v="15.9"/>
    <n v="15.9"/>
    <d v="2025-02-17T00:00:00"/>
    <d v="2025-02-20T00:00:00"/>
    <s v=""/>
    <x v="1"/>
    <x v="0"/>
    <x v="0"/>
    <x v="3"/>
    <x v="2"/>
    <x v="7"/>
    <x v="0"/>
  </r>
  <r>
    <s v="TX501215"/>
    <x v="6"/>
    <x v="1"/>
    <n v="78.7"/>
    <n v="157.4"/>
    <d v="2025-02-17T00:00:00"/>
    <d v="2025-02-17T00:00:00"/>
    <s v="F"/>
    <x v="2"/>
    <x v="1"/>
    <x v="0"/>
    <x v="3"/>
    <x v="7"/>
    <x v="7"/>
    <x v="2"/>
  </r>
  <r>
    <s v="TX501216"/>
    <x v="5"/>
    <x v="4"/>
    <n v="29.6"/>
    <n v="355.20000000000005"/>
    <d v="2025-02-17T00:00:00"/>
    <d v="2025-02-21T00:00:00"/>
    <s v="M"/>
    <x v="2"/>
    <x v="4"/>
    <x v="0"/>
    <x v="3"/>
    <x v="5"/>
    <x v="7"/>
    <x v="1"/>
  </r>
  <r>
    <s v="TX501217"/>
    <x v="8"/>
    <x v="12"/>
    <n v="21.5"/>
    <n v="86"/>
    <d v="2025-02-17T00:00:00"/>
    <d v="2025-02-20T00:00:00"/>
    <s v="M"/>
    <x v="1"/>
    <x v="0"/>
    <x v="0"/>
    <x v="3"/>
    <x v="2"/>
    <x v="7"/>
    <x v="1"/>
  </r>
  <r>
    <s v="TX501218"/>
    <x v="9"/>
    <x v="2"/>
    <n v="74.900000000000006"/>
    <n v="224.70000000000002"/>
    <d v="2025-02-17T00:00:00"/>
    <d v="2025-02-26T00:00:00"/>
    <s v="M"/>
    <x v="3"/>
    <x v="1"/>
    <x v="0"/>
    <x v="3"/>
    <x v="8"/>
    <x v="7"/>
    <x v="1"/>
  </r>
  <r>
    <s v="TX501219"/>
    <x v="10"/>
    <x v="13"/>
    <n v="45"/>
    <n v="270"/>
    <d v="2025-02-17T00:00:00"/>
    <d v="2025-02-22T00:00:00"/>
    <s v="F"/>
    <x v="2"/>
    <x v="0"/>
    <x v="0"/>
    <x v="3"/>
    <x v="0"/>
    <x v="7"/>
    <x v="2"/>
  </r>
  <r>
    <s v="TX501220"/>
    <x v="7"/>
    <x v="33"/>
    <n v="37.9"/>
    <n v="1288.5999999999999"/>
    <d v="2025-02-17T00:00:00"/>
    <d v="2025-02-18T00:00:00"/>
    <s v="M"/>
    <x v="0"/>
    <x v="0"/>
    <x v="0"/>
    <x v="3"/>
    <x v="3"/>
    <x v="7"/>
    <x v="1"/>
  </r>
  <r>
    <s v="TX501221"/>
    <x v="6"/>
    <x v="2"/>
    <n v="56.6"/>
    <n v="169.8"/>
    <d v="2025-02-17T00:00:00"/>
    <d v="2025-02-18T00:00:00"/>
    <s v="M"/>
    <x v="3"/>
    <x v="0"/>
    <x v="0"/>
    <x v="3"/>
    <x v="3"/>
    <x v="7"/>
    <x v="1"/>
  </r>
  <r>
    <s v="TX501222"/>
    <x v="3"/>
    <x v="15"/>
    <n v="84.5"/>
    <n v="1098.5"/>
    <d v="2025-02-17T00:00:00"/>
    <d v="2025-02-20T00:00:00"/>
    <s v="F"/>
    <x v="1"/>
    <x v="4"/>
    <x v="0"/>
    <x v="3"/>
    <x v="2"/>
    <x v="7"/>
    <x v="2"/>
  </r>
  <r>
    <s v="TX501223"/>
    <x v="2"/>
    <x v="9"/>
    <n v="105.4"/>
    <n v="527"/>
    <d v="2025-02-17T00:00:00"/>
    <d v="2025-02-19T00:00:00"/>
    <s v="F"/>
    <x v="1"/>
    <x v="1"/>
    <x v="0"/>
    <x v="3"/>
    <x v="1"/>
    <x v="7"/>
    <x v="2"/>
  </r>
  <r>
    <s v="TX501224"/>
    <x v="18"/>
    <x v="3"/>
    <n v="39.4"/>
    <n v="275.8"/>
    <d v="2025-02-18T00:00:00"/>
    <d v="2025-02-18T00:00:00"/>
    <s v="M"/>
    <x v="1"/>
    <x v="0"/>
    <x v="0"/>
    <x v="37"/>
    <x v="7"/>
    <x v="7"/>
    <x v="1"/>
  </r>
  <r>
    <s v="TX501225"/>
    <x v="19"/>
    <x v="2"/>
    <n v="38"/>
    <n v="114"/>
    <d v="2025-02-18T00:00:00"/>
    <d v="2025-02-21T00:00:00"/>
    <s v="M"/>
    <x v="4"/>
    <x v="1"/>
    <x v="0"/>
    <x v="6"/>
    <x v="2"/>
    <x v="7"/>
    <x v="1"/>
  </r>
  <r>
    <s v="TX501226"/>
    <x v="17"/>
    <x v="12"/>
    <n v="42.5"/>
    <n v="170"/>
    <d v="2025-02-18T00:00:00"/>
    <d v="2025-02-20T00:00:00"/>
    <s v=""/>
    <x v="0"/>
    <x v="0"/>
    <x v="0"/>
    <x v="6"/>
    <x v="1"/>
    <x v="7"/>
    <x v="0"/>
  </r>
  <r>
    <s v="TX501227"/>
    <x v="15"/>
    <x v="0"/>
    <n v="62.3"/>
    <n v="62.3"/>
    <d v="2025-02-18T00:00:00"/>
    <d v="2025-02-27T00:00:00"/>
    <s v="M"/>
    <x v="0"/>
    <x v="2"/>
    <x v="0"/>
    <x v="6"/>
    <x v="8"/>
    <x v="7"/>
    <x v="1"/>
  </r>
  <r>
    <s v="TX501228"/>
    <x v="6"/>
    <x v="9"/>
    <n v="49.1"/>
    <n v="245.5"/>
    <d v="2025-02-18T00:00:00"/>
    <d v="2025-02-20T00:00:00"/>
    <s v="F"/>
    <x v="1"/>
    <x v="2"/>
    <x v="0"/>
    <x v="7"/>
    <x v="1"/>
    <x v="7"/>
    <x v="2"/>
  </r>
  <r>
    <s v="TX501229"/>
    <x v="3"/>
    <x v="1"/>
    <n v="30.5"/>
    <n v="61"/>
    <d v="2025-02-18T00:00:00"/>
    <d v="2025-02-21T00:00:00"/>
    <s v="M"/>
    <x v="0"/>
    <x v="2"/>
    <x v="0"/>
    <x v="8"/>
    <x v="2"/>
    <x v="7"/>
    <x v="1"/>
  </r>
  <r>
    <s v="TX501230"/>
    <x v="2"/>
    <x v="1"/>
    <n v="154.80000000000001"/>
    <n v="309.60000000000002"/>
    <d v="2025-02-18T00:00:00"/>
    <d v="2025-02-21T00:00:00"/>
    <s v="F"/>
    <x v="1"/>
    <x v="4"/>
    <x v="0"/>
    <x v="8"/>
    <x v="2"/>
    <x v="7"/>
    <x v="2"/>
  </r>
  <r>
    <s v="TX501231"/>
    <x v="6"/>
    <x v="0"/>
    <n v="45"/>
    <n v="45"/>
    <d v="2025-02-18T00:00:00"/>
    <d v="2025-02-22T00:00:00"/>
    <s v="M"/>
    <x v="3"/>
    <x v="1"/>
    <x v="0"/>
    <x v="8"/>
    <x v="5"/>
    <x v="7"/>
    <x v="1"/>
  </r>
  <r>
    <s v="TX501232"/>
    <x v="0"/>
    <x v="3"/>
    <n v="15.3"/>
    <n v="107.10000000000001"/>
    <d v="2025-02-18T00:00:00"/>
    <d v="2025-02-19T00:00:00"/>
    <s v="M"/>
    <x v="0"/>
    <x v="2"/>
    <x v="0"/>
    <x v="8"/>
    <x v="3"/>
    <x v="7"/>
    <x v="1"/>
  </r>
  <r>
    <s v="TX501233"/>
    <x v="2"/>
    <x v="5"/>
    <n v="88.6"/>
    <n v="974.59999999999991"/>
    <d v="2025-02-18T00:00:00"/>
    <d v="2025-02-21T00:00:00"/>
    <s v="F"/>
    <x v="0"/>
    <x v="4"/>
    <x v="0"/>
    <x v="17"/>
    <x v="2"/>
    <x v="7"/>
    <x v="2"/>
  </r>
  <r>
    <s v="TX501234"/>
    <x v="9"/>
    <x v="1"/>
    <n v="49.7"/>
    <n v="99.4"/>
    <d v="2025-02-18T00:00:00"/>
    <d v="2025-02-20T00:00:00"/>
    <s v="O"/>
    <x v="4"/>
    <x v="0"/>
    <x v="0"/>
    <x v="10"/>
    <x v="1"/>
    <x v="7"/>
    <x v="3"/>
  </r>
  <r>
    <s v="TX501235"/>
    <x v="10"/>
    <x v="0"/>
    <n v="29"/>
    <n v="29"/>
    <d v="2025-02-18T00:00:00"/>
    <d v="2025-02-19T00:00:00"/>
    <s v="M"/>
    <x v="0"/>
    <x v="0"/>
    <x v="0"/>
    <x v="11"/>
    <x v="3"/>
    <x v="7"/>
    <x v="1"/>
  </r>
  <r>
    <s v="TX501236"/>
    <x v="1"/>
    <x v="0"/>
    <n v="60.7"/>
    <n v="60.7"/>
    <d v="2025-02-18T00:00:00"/>
    <d v="2025-02-19T00:00:00"/>
    <s v="O"/>
    <x v="0"/>
    <x v="1"/>
    <x v="0"/>
    <x v="11"/>
    <x v="3"/>
    <x v="7"/>
    <x v="3"/>
  </r>
  <r>
    <s v="TX501237"/>
    <x v="17"/>
    <x v="12"/>
    <n v="87.4"/>
    <n v="349.6"/>
    <d v="2025-02-18T00:00:00"/>
    <d v="2025-02-20T00:00:00"/>
    <s v=""/>
    <x v="0"/>
    <x v="0"/>
    <x v="0"/>
    <x v="11"/>
    <x v="1"/>
    <x v="7"/>
    <x v="0"/>
  </r>
  <r>
    <s v="TX501238"/>
    <x v="4"/>
    <x v="3"/>
    <n v="44.5"/>
    <n v="311.5"/>
    <d v="2025-02-18T00:00:00"/>
    <d v="2025-02-22T00:00:00"/>
    <s v="F"/>
    <x v="2"/>
    <x v="2"/>
    <x v="0"/>
    <x v="19"/>
    <x v="5"/>
    <x v="7"/>
    <x v="2"/>
  </r>
  <r>
    <s v="TX501239"/>
    <x v="2"/>
    <x v="0"/>
    <n v="141"/>
    <n v="141"/>
    <d v="2025-02-18T00:00:00"/>
    <d v="2025-02-19T00:00:00"/>
    <s v="M"/>
    <x v="4"/>
    <x v="2"/>
    <x v="0"/>
    <x v="19"/>
    <x v="3"/>
    <x v="7"/>
    <x v="1"/>
  </r>
  <r>
    <s v="TX501240"/>
    <x v="0"/>
    <x v="2"/>
    <n v="16.7"/>
    <n v="50.099999999999994"/>
    <d v="2025-02-18T00:00:00"/>
    <d v="2025-02-26T00:00:00"/>
    <s v="F"/>
    <x v="0"/>
    <x v="0"/>
    <x v="0"/>
    <x v="20"/>
    <x v="9"/>
    <x v="7"/>
    <x v="2"/>
  </r>
  <r>
    <s v="TX501241"/>
    <x v="1"/>
    <x v="1"/>
    <n v="77.5"/>
    <n v="155"/>
    <d v="2025-02-18T00:00:00"/>
    <d v="2025-02-19T00:00:00"/>
    <s v=""/>
    <x v="2"/>
    <x v="2"/>
    <x v="0"/>
    <x v="13"/>
    <x v="3"/>
    <x v="7"/>
    <x v="0"/>
  </r>
  <r>
    <s v="TX501242"/>
    <x v="2"/>
    <x v="1"/>
    <n v="163"/>
    <n v="326"/>
    <d v="2025-02-18T00:00:00"/>
    <d v="2025-02-24T00:00:00"/>
    <s v="F"/>
    <x v="4"/>
    <x v="0"/>
    <x v="0"/>
    <x v="21"/>
    <x v="4"/>
    <x v="7"/>
    <x v="2"/>
  </r>
  <r>
    <s v="TX501243"/>
    <x v="4"/>
    <x v="11"/>
    <n v="21.4"/>
    <n v="192.6"/>
    <d v="2025-02-18T00:00:00"/>
    <d v="2025-02-21T00:00:00"/>
    <s v="F"/>
    <x v="0"/>
    <x v="0"/>
    <x v="0"/>
    <x v="51"/>
    <x v="2"/>
    <x v="7"/>
    <x v="2"/>
  </r>
  <r>
    <s v="TX501244"/>
    <x v="10"/>
    <x v="5"/>
    <n v="31"/>
    <n v="341"/>
    <d v="2025-02-18T00:00:00"/>
    <d v="2025-02-20T00:00:00"/>
    <s v="F"/>
    <x v="3"/>
    <x v="2"/>
    <x v="0"/>
    <x v="1"/>
    <x v="1"/>
    <x v="7"/>
    <x v="2"/>
  </r>
  <r>
    <s v="TX501245"/>
    <x v="7"/>
    <x v="1"/>
    <n v="34.299999999999997"/>
    <n v="68.599999999999994"/>
    <d v="2025-02-18T00:00:00"/>
    <d v="2025-02-20T00:00:00"/>
    <s v="F"/>
    <x v="0"/>
    <x v="3"/>
    <x v="0"/>
    <x v="1"/>
    <x v="1"/>
    <x v="7"/>
    <x v="2"/>
  </r>
  <r>
    <s v="TX501246"/>
    <x v="17"/>
    <x v="9"/>
    <n v="48.2"/>
    <n v="241"/>
    <d v="2025-02-18T00:00:00"/>
    <d v="2025-02-19T00:00:00"/>
    <s v="M"/>
    <x v="1"/>
    <x v="1"/>
    <x v="0"/>
    <x v="2"/>
    <x v="3"/>
    <x v="7"/>
    <x v="1"/>
  </r>
  <r>
    <s v="TX501247"/>
    <x v="10"/>
    <x v="0"/>
    <n v="51.4"/>
    <n v="51.4"/>
    <d v="2025-02-18T00:00:00"/>
    <d v="2025-02-19T00:00:00"/>
    <s v="M"/>
    <x v="0"/>
    <x v="0"/>
    <x v="0"/>
    <x v="3"/>
    <x v="3"/>
    <x v="7"/>
    <x v="1"/>
  </r>
  <r>
    <s v="TX501248"/>
    <x v="2"/>
    <x v="9"/>
    <n v="117.2"/>
    <n v="586"/>
    <d v="2025-02-18T00:00:00"/>
    <d v="2025-02-21T00:00:00"/>
    <s v="F"/>
    <x v="4"/>
    <x v="4"/>
    <x v="0"/>
    <x v="3"/>
    <x v="2"/>
    <x v="7"/>
    <x v="2"/>
  </r>
  <r>
    <s v="TX501249"/>
    <x v="8"/>
    <x v="0"/>
    <n v="38.1"/>
    <n v="38.1"/>
    <d v="2025-02-18T00:00:00"/>
    <d v="2025-02-18T00:00:00"/>
    <s v="M"/>
    <x v="4"/>
    <x v="1"/>
    <x v="0"/>
    <x v="3"/>
    <x v="7"/>
    <x v="7"/>
    <x v="1"/>
  </r>
  <r>
    <s v="TX501250"/>
    <x v="0"/>
    <x v="1"/>
    <n v="44.1"/>
    <n v="88.2"/>
    <d v="2025-02-18T00:00:00"/>
    <d v="2025-02-20T00:00:00"/>
    <s v="F"/>
    <x v="2"/>
    <x v="0"/>
    <x v="0"/>
    <x v="3"/>
    <x v="1"/>
    <x v="7"/>
    <x v="2"/>
  </r>
  <r>
    <s v="TX501251"/>
    <x v="15"/>
    <x v="12"/>
    <n v="80.5"/>
    <n v="322"/>
    <d v="2025-02-18T00:00:00"/>
    <d v="2025-02-23T00:00:00"/>
    <s v="M"/>
    <x v="0"/>
    <x v="0"/>
    <x v="0"/>
    <x v="3"/>
    <x v="0"/>
    <x v="7"/>
    <x v="1"/>
  </r>
  <r>
    <s v="TX501252"/>
    <x v="18"/>
    <x v="12"/>
    <n v="33.6"/>
    <n v="134.4"/>
    <d v="2025-02-18T00:00:00"/>
    <d v="2025-02-23T00:00:00"/>
    <s v=""/>
    <x v="0"/>
    <x v="2"/>
    <x v="0"/>
    <x v="3"/>
    <x v="0"/>
    <x v="7"/>
    <x v="0"/>
  </r>
  <r>
    <s v="TX501253"/>
    <x v="9"/>
    <x v="11"/>
    <n v="41.8"/>
    <n v="376.2"/>
    <d v="2025-02-18T00:00:00"/>
    <d v="2025-02-19T00:00:00"/>
    <s v="F"/>
    <x v="0"/>
    <x v="1"/>
    <x v="0"/>
    <x v="3"/>
    <x v="3"/>
    <x v="7"/>
    <x v="2"/>
  </r>
  <r>
    <s v="TX501254"/>
    <x v="1"/>
    <x v="1"/>
    <n v="106.2"/>
    <n v="212.4"/>
    <d v="2025-02-18T00:00:00"/>
    <d v="2025-02-18T00:00:00"/>
    <s v="F"/>
    <x v="4"/>
    <x v="2"/>
    <x v="0"/>
    <x v="3"/>
    <x v="7"/>
    <x v="7"/>
    <x v="2"/>
  </r>
  <r>
    <s v="TX501255"/>
    <x v="1"/>
    <x v="1"/>
    <n v="52.6"/>
    <n v="105.2"/>
    <d v="2025-02-18T00:00:00"/>
    <d v="2025-02-19T00:00:00"/>
    <s v="F"/>
    <x v="0"/>
    <x v="2"/>
    <x v="0"/>
    <x v="5"/>
    <x v="3"/>
    <x v="7"/>
    <x v="2"/>
  </r>
  <r>
    <s v="TX501256"/>
    <x v="11"/>
    <x v="3"/>
    <n v="68.5"/>
    <n v="479.5"/>
    <d v="2025-02-18T00:00:00"/>
    <d v="2025-02-19T00:00:00"/>
    <s v="F"/>
    <x v="1"/>
    <x v="0"/>
    <x v="0"/>
    <x v="5"/>
    <x v="3"/>
    <x v="7"/>
    <x v="2"/>
  </r>
  <r>
    <s v="TX501257"/>
    <x v="1"/>
    <x v="1"/>
    <n v="55.6"/>
    <n v="111.2"/>
    <d v="2025-02-18T00:00:00"/>
    <d v="2025-02-20T00:00:00"/>
    <s v="M"/>
    <x v="1"/>
    <x v="2"/>
    <x v="0"/>
    <x v="6"/>
    <x v="1"/>
    <x v="7"/>
    <x v="1"/>
  </r>
  <r>
    <s v="TX501258"/>
    <x v="2"/>
    <x v="2"/>
    <n v="134.9"/>
    <n v="404.70000000000005"/>
    <d v="2025-02-18T00:00:00"/>
    <d v="2025-02-19T00:00:00"/>
    <s v="M"/>
    <x v="1"/>
    <x v="1"/>
    <x v="0"/>
    <x v="6"/>
    <x v="3"/>
    <x v="7"/>
    <x v="1"/>
  </r>
  <r>
    <s v="TX501259"/>
    <x v="10"/>
    <x v="9"/>
    <n v="42.6"/>
    <n v="213"/>
    <d v="2025-02-18T00:00:00"/>
    <d v="2025-02-19T00:00:00"/>
    <s v="M"/>
    <x v="0"/>
    <x v="0"/>
    <x v="0"/>
    <x v="6"/>
    <x v="3"/>
    <x v="7"/>
    <x v="1"/>
  </r>
  <r>
    <s v="TX501260"/>
    <x v="7"/>
    <x v="9"/>
    <n v="60.6"/>
    <n v="303"/>
    <d v="2025-02-18T00:00:00"/>
    <d v="2025-02-20T00:00:00"/>
    <s v="M"/>
    <x v="4"/>
    <x v="0"/>
    <x v="0"/>
    <x v="6"/>
    <x v="1"/>
    <x v="7"/>
    <x v="1"/>
  </r>
  <r>
    <s v="TX501261"/>
    <x v="8"/>
    <x v="1"/>
    <n v="43.5"/>
    <n v="87"/>
    <d v="2025-02-18T00:00:00"/>
    <d v="2025-02-19T00:00:00"/>
    <s v="M"/>
    <x v="4"/>
    <x v="0"/>
    <x v="0"/>
    <x v="7"/>
    <x v="3"/>
    <x v="7"/>
    <x v="1"/>
  </r>
  <r>
    <s v="TX501262"/>
    <x v="2"/>
    <x v="1"/>
    <n v="187.1"/>
    <n v="374.2"/>
    <d v="2025-02-18T00:00:00"/>
    <d v="2025-02-19T00:00:00"/>
    <s v="M"/>
    <x v="1"/>
    <x v="2"/>
    <x v="0"/>
    <x v="8"/>
    <x v="3"/>
    <x v="7"/>
    <x v="1"/>
  </r>
  <r>
    <s v="TX501263"/>
    <x v="9"/>
    <x v="2"/>
    <n v="32"/>
    <n v="96"/>
    <d v="2025-02-18T00:00:00"/>
    <d v="2025-02-20T00:00:00"/>
    <s v="M"/>
    <x v="0"/>
    <x v="0"/>
    <x v="0"/>
    <x v="8"/>
    <x v="1"/>
    <x v="7"/>
    <x v="1"/>
  </r>
  <r>
    <s v="TX501264"/>
    <x v="9"/>
    <x v="1"/>
    <n v="110.8"/>
    <n v="221.6"/>
    <d v="2025-02-18T00:00:00"/>
    <d v="2025-02-18T00:00:00"/>
    <s v="M"/>
    <x v="0"/>
    <x v="2"/>
    <x v="0"/>
    <x v="8"/>
    <x v="7"/>
    <x v="7"/>
    <x v="1"/>
  </r>
  <r>
    <s v="TX501265"/>
    <x v="10"/>
    <x v="15"/>
    <n v="36.1"/>
    <n v="469.3"/>
    <d v="2025-02-18T00:00:00"/>
    <d v="2025-02-21T00:00:00"/>
    <s v="F"/>
    <x v="0"/>
    <x v="1"/>
    <x v="0"/>
    <x v="8"/>
    <x v="2"/>
    <x v="7"/>
    <x v="2"/>
  </r>
  <r>
    <s v="TX501266"/>
    <x v="0"/>
    <x v="0"/>
    <n v="24.1"/>
    <n v="24.1"/>
    <d v="2025-02-18T00:00:00"/>
    <d v="2025-02-20T00:00:00"/>
    <s v="F"/>
    <x v="4"/>
    <x v="2"/>
    <x v="0"/>
    <x v="8"/>
    <x v="1"/>
    <x v="7"/>
    <x v="2"/>
  </r>
  <r>
    <s v="TX501267"/>
    <x v="19"/>
    <x v="2"/>
    <n v="30.5"/>
    <n v="91.5"/>
    <d v="2025-02-18T00:00:00"/>
    <d v="2025-02-20T00:00:00"/>
    <s v="M"/>
    <x v="1"/>
    <x v="0"/>
    <x v="0"/>
    <x v="8"/>
    <x v="1"/>
    <x v="7"/>
    <x v="1"/>
  </r>
  <r>
    <s v="TX501268"/>
    <x v="18"/>
    <x v="13"/>
    <n v="68.3"/>
    <n v="409.79999999999995"/>
    <d v="2025-02-18T00:00:00"/>
    <d v="2025-02-21T00:00:00"/>
    <s v="M"/>
    <x v="0"/>
    <x v="0"/>
    <x v="0"/>
    <x v="8"/>
    <x v="2"/>
    <x v="7"/>
    <x v="1"/>
  </r>
  <r>
    <s v="TX501269"/>
    <x v="7"/>
    <x v="2"/>
    <n v="43.3"/>
    <n v="129.89999999999998"/>
    <d v="2025-02-18T00:00:00"/>
    <d v="2025-02-22T00:00:00"/>
    <s v="F"/>
    <x v="0"/>
    <x v="0"/>
    <x v="0"/>
    <x v="17"/>
    <x v="5"/>
    <x v="7"/>
    <x v="2"/>
  </r>
  <r>
    <s v="TX501270"/>
    <x v="3"/>
    <x v="0"/>
    <n v="101.7"/>
    <n v="101.7"/>
    <d v="2025-02-18T00:00:00"/>
    <d v="2025-02-21T00:00:00"/>
    <s v="F"/>
    <x v="0"/>
    <x v="1"/>
    <x v="0"/>
    <x v="17"/>
    <x v="2"/>
    <x v="7"/>
    <x v="2"/>
  </r>
  <r>
    <s v="TX501271"/>
    <x v="11"/>
    <x v="1"/>
    <n v="54.2"/>
    <n v="108.4"/>
    <d v="2025-02-18T00:00:00"/>
    <d v="2025-02-19T00:00:00"/>
    <s v="F"/>
    <x v="0"/>
    <x v="1"/>
    <x v="0"/>
    <x v="17"/>
    <x v="3"/>
    <x v="7"/>
    <x v="2"/>
  </r>
  <r>
    <s v="TX501272"/>
    <x v="16"/>
    <x v="1"/>
    <n v="51"/>
    <n v="102"/>
    <d v="2025-02-18T00:00:00"/>
    <d v="2025-02-18T00:00:00"/>
    <s v="M"/>
    <x v="1"/>
    <x v="0"/>
    <x v="0"/>
    <x v="26"/>
    <x v="7"/>
    <x v="7"/>
    <x v="1"/>
  </r>
  <r>
    <s v="TX501273"/>
    <x v="4"/>
    <x v="1"/>
    <n v="23.1"/>
    <n v="46.2"/>
    <d v="2025-02-18T00:00:00"/>
    <d v="2025-02-21T00:00:00"/>
    <s v="M"/>
    <x v="1"/>
    <x v="0"/>
    <x v="0"/>
    <x v="10"/>
    <x v="2"/>
    <x v="7"/>
    <x v="1"/>
  </r>
  <r>
    <s v="TX501274"/>
    <x v="12"/>
    <x v="13"/>
    <n v="60.1"/>
    <n v="360.6"/>
    <d v="2025-02-18T00:00:00"/>
    <d v="2025-02-18T00:00:00"/>
    <s v="F"/>
    <x v="3"/>
    <x v="0"/>
    <x v="0"/>
    <x v="11"/>
    <x v="7"/>
    <x v="7"/>
    <x v="2"/>
  </r>
  <r>
    <s v="TX501275"/>
    <x v="2"/>
    <x v="3"/>
    <n v="87.5"/>
    <n v="612.5"/>
    <d v="2025-02-18T00:00:00"/>
    <d v="2025-02-20T00:00:00"/>
    <s v="F"/>
    <x v="0"/>
    <x v="1"/>
    <x v="0"/>
    <x v="11"/>
    <x v="1"/>
    <x v="7"/>
    <x v="2"/>
  </r>
  <r>
    <s v="TX501276"/>
    <x v="1"/>
    <x v="2"/>
    <n v="51"/>
    <n v="153"/>
    <d v="2025-02-18T00:00:00"/>
    <d v="2025-02-19T00:00:00"/>
    <s v="F"/>
    <x v="1"/>
    <x v="0"/>
    <x v="0"/>
    <x v="11"/>
    <x v="3"/>
    <x v="7"/>
    <x v="2"/>
  </r>
  <r>
    <s v="TX501277"/>
    <x v="8"/>
    <x v="12"/>
    <n v="19.2"/>
    <n v="76.8"/>
    <d v="2025-02-18T00:00:00"/>
    <d v="2025-02-20T00:00:00"/>
    <s v="F"/>
    <x v="0"/>
    <x v="0"/>
    <x v="0"/>
    <x v="11"/>
    <x v="1"/>
    <x v="7"/>
    <x v="2"/>
  </r>
  <r>
    <s v="TX501278"/>
    <x v="5"/>
    <x v="8"/>
    <n v="26.5"/>
    <n v="212"/>
    <d v="2025-02-18T00:00:00"/>
    <d v="2025-02-19T00:00:00"/>
    <s v=""/>
    <x v="3"/>
    <x v="2"/>
    <x v="0"/>
    <x v="11"/>
    <x v="3"/>
    <x v="7"/>
    <x v="0"/>
  </r>
  <r>
    <s v="TX501279"/>
    <x v="2"/>
    <x v="1"/>
    <n v="220.3"/>
    <n v="440.6"/>
    <d v="2025-02-18T00:00:00"/>
    <d v="2025-02-19T00:00:00"/>
    <s v="F"/>
    <x v="1"/>
    <x v="4"/>
    <x v="0"/>
    <x v="53"/>
    <x v="3"/>
    <x v="7"/>
    <x v="2"/>
  </r>
  <r>
    <s v="TX501280"/>
    <x v="8"/>
    <x v="2"/>
    <n v="45.7"/>
    <n v="137.10000000000002"/>
    <d v="2025-02-18T00:00:00"/>
    <d v="2025-02-19T00:00:00"/>
    <s v="F"/>
    <x v="4"/>
    <x v="0"/>
    <x v="0"/>
    <x v="30"/>
    <x v="3"/>
    <x v="7"/>
    <x v="2"/>
  </r>
  <r>
    <s v="TX501281"/>
    <x v="5"/>
    <x v="9"/>
    <n v="47.1"/>
    <n v="235.5"/>
    <d v="2025-02-18T00:00:00"/>
    <d v="2025-02-22T00:00:00"/>
    <s v="F"/>
    <x v="3"/>
    <x v="0"/>
    <x v="0"/>
    <x v="13"/>
    <x v="5"/>
    <x v="7"/>
    <x v="2"/>
  </r>
  <r>
    <s v="TX501282"/>
    <x v="1"/>
    <x v="9"/>
    <n v="81.7"/>
    <n v="408.5"/>
    <d v="2025-02-18T00:00:00"/>
    <d v="2025-02-19T00:00:00"/>
    <s v="F"/>
    <x v="0"/>
    <x v="2"/>
    <x v="0"/>
    <x v="21"/>
    <x v="3"/>
    <x v="7"/>
    <x v="2"/>
  </r>
  <r>
    <s v="TX501283"/>
    <x v="6"/>
    <x v="7"/>
    <n v="97.8"/>
    <n v="978"/>
    <d v="2025-02-18T00:00:00"/>
    <d v="2025-02-18T00:00:00"/>
    <s v="M"/>
    <x v="1"/>
    <x v="1"/>
    <x v="0"/>
    <x v="21"/>
    <x v="7"/>
    <x v="7"/>
    <x v="1"/>
  </r>
  <r>
    <s v="TX501284"/>
    <x v="6"/>
    <x v="2"/>
    <n v="42.4"/>
    <n v="127.19999999999999"/>
    <d v="2025-02-18T00:00:00"/>
    <d v="2025-02-19T00:00:00"/>
    <s v="F"/>
    <x v="0"/>
    <x v="2"/>
    <x v="0"/>
    <x v="54"/>
    <x v="3"/>
    <x v="7"/>
    <x v="2"/>
  </r>
  <r>
    <s v="TX501285"/>
    <x v="2"/>
    <x v="7"/>
    <n v="74.5"/>
    <n v="745"/>
    <d v="2025-02-18T00:00:00"/>
    <d v="2025-02-19T00:00:00"/>
    <s v="M"/>
    <x v="2"/>
    <x v="1"/>
    <x v="0"/>
    <x v="1"/>
    <x v="3"/>
    <x v="7"/>
    <x v="1"/>
  </r>
  <r>
    <s v="TX501286"/>
    <x v="17"/>
    <x v="13"/>
    <n v="47.4"/>
    <n v="284.39999999999998"/>
    <d v="2025-02-18T00:00:00"/>
    <d v="2025-02-19T00:00:00"/>
    <s v="M"/>
    <x v="1"/>
    <x v="0"/>
    <x v="0"/>
    <x v="1"/>
    <x v="3"/>
    <x v="7"/>
    <x v="1"/>
  </r>
  <r>
    <s v="TX501287"/>
    <x v="14"/>
    <x v="2"/>
    <n v="17.3"/>
    <n v="51.900000000000006"/>
    <d v="2025-02-19T00:00:00"/>
    <d v="2025-02-22T00:00:00"/>
    <s v="M"/>
    <x v="2"/>
    <x v="2"/>
    <x v="0"/>
    <x v="1"/>
    <x v="2"/>
    <x v="7"/>
    <x v="1"/>
  </r>
  <r>
    <s v="TX501288"/>
    <x v="12"/>
    <x v="12"/>
    <n v="77.900000000000006"/>
    <n v="311.60000000000002"/>
    <d v="2025-02-19T00:00:00"/>
    <d v="2025-02-20T00:00:00"/>
    <s v="M"/>
    <x v="1"/>
    <x v="0"/>
    <x v="0"/>
    <x v="2"/>
    <x v="3"/>
    <x v="7"/>
    <x v="1"/>
  </r>
  <r>
    <s v="TX501289"/>
    <x v="8"/>
    <x v="0"/>
    <n v="29.1"/>
    <n v="29.1"/>
    <d v="2025-02-19T00:00:00"/>
    <d v="2025-02-22T00:00:00"/>
    <s v="M"/>
    <x v="0"/>
    <x v="2"/>
    <x v="0"/>
    <x v="50"/>
    <x v="2"/>
    <x v="7"/>
    <x v="1"/>
  </r>
  <r>
    <s v="TX501290"/>
    <x v="8"/>
    <x v="0"/>
    <n v="49"/>
    <n v="49"/>
    <d v="2025-02-19T00:00:00"/>
    <d v="2025-02-20T00:00:00"/>
    <s v="M"/>
    <x v="1"/>
    <x v="0"/>
    <x v="0"/>
    <x v="3"/>
    <x v="3"/>
    <x v="7"/>
    <x v="1"/>
  </r>
  <r>
    <s v="TX501291"/>
    <x v="8"/>
    <x v="13"/>
    <n v="21.1"/>
    <n v="126.60000000000001"/>
    <d v="2025-02-19T00:00:00"/>
    <d v="2025-02-26T00:00:00"/>
    <s v="M"/>
    <x v="0"/>
    <x v="2"/>
    <x v="0"/>
    <x v="3"/>
    <x v="6"/>
    <x v="7"/>
    <x v="1"/>
  </r>
  <r>
    <s v="TX501292"/>
    <x v="4"/>
    <x v="10"/>
    <n v="36.9"/>
    <n v="701.1"/>
    <d v="2025-02-19T00:00:00"/>
    <d v="2025-02-19T00:00:00"/>
    <s v="F"/>
    <x v="0"/>
    <x v="0"/>
    <x v="0"/>
    <x v="3"/>
    <x v="7"/>
    <x v="7"/>
    <x v="2"/>
  </r>
  <r>
    <s v="TX501293"/>
    <x v="1"/>
    <x v="7"/>
    <n v="92.6"/>
    <n v="926"/>
    <d v="2025-02-19T00:00:00"/>
    <d v="2025-02-24T00:00:00"/>
    <s v="M"/>
    <x v="4"/>
    <x v="2"/>
    <x v="0"/>
    <x v="3"/>
    <x v="0"/>
    <x v="7"/>
    <x v="1"/>
  </r>
  <r>
    <s v="TX501294"/>
    <x v="10"/>
    <x v="1"/>
    <n v="38"/>
    <n v="76"/>
    <d v="2025-02-19T00:00:00"/>
    <d v="2025-02-20T00:00:00"/>
    <s v="M"/>
    <x v="1"/>
    <x v="1"/>
    <x v="0"/>
    <x v="3"/>
    <x v="3"/>
    <x v="7"/>
    <x v="1"/>
  </r>
  <r>
    <s v="TX501295"/>
    <x v="5"/>
    <x v="2"/>
    <n v="54.8"/>
    <n v="164.39999999999998"/>
    <d v="2025-02-19T00:00:00"/>
    <d v="2025-02-23T00:00:00"/>
    <s v=""/>
    <x v="0"/>
    <x v="1"/>
    <x v="0"/>
    <x v="3"/>
    <x v="5"/>
    <x v="7"/>
    <x v="0"/>
  </r>
  <r>
    <s v="TX501296"/>
    <x v="10"/>
    <x v="4"/>
    <n v="56.8"/>
    <n v="681.59999999999991"/>
    <d v="2025-02-19T00:00:00"/>
    <d v="2025-02-21T00:00:00"/>
    <s v="M"/>
    <x v="1"/>
    <x v="0"/>
    <x v="0"/>
    <x v="3"/>
    <x v="1"/>
    <x v="7"/>
    <x v="1"/>
  </r>
  <r>
    <s v="TX501297"/>
    <x v="11"/>
    <x v="40"/>
    <n v="47.2"/>
    <n v="1557.6000000000001"/>
    <d v="2025-02-19T00:00:00"/>
    <d v="2025-02-22T00:00:00"/>
    <s v="F"/>
    <x v="1"/>
    <x v="0"/>
    <x v="0"/>
    <x v="3"/>
    <x v="2"/>
    <x v="7"/>
    <x v="2"/>
  </r>
  <r>
    <s v="TX501298"/>
    <x v="7"/>
    <x v="13"/>
    <n v="45.1"/>
    <n v="270.60000000000002"/>
    <d v="2025-02-19T00:00:00"/>
    <d v="2025-02-20T00:00:00"/>
    <s v="F"/>
    <x v="2"/>
    <x v="0"/>
    <x v="0"/>
    <x v="43"/>
    <x v="3"/>
    <x v="7"/>
    <x v="2"/>
  </r>
  <r>
    <s v="TX501299"/>
    <x v="4"/>
    <x v="4"/>
    <n v="25.2"/>
    <n v="302.39999999999998"/>
    <d v="2025-02-19T00:00:00"/>
    <d v="2025-02-24T00:00:00"/>
    <s v="F"/>
    <x v="2"/>
    <x v="0"/>
    <x v="0"/>
    <x v="16"/>
    <x v="0"/>
    <x v="7"/>
    <x v="2"/>
  </r>
  <r>
    <s v="TX501300"/>
    <x v="8"/>
    <x v="0"/>
    <n v="22"/>
    <n v="22"/>
    <d v="2025-02-19T00:00:00"/>
    <d v="2025-02-20T00:00:00"/>
    <s v="F"/>
    <x v="0"/>
    <x v="0"/>
    <x v="0"/>
    <x v="5"/>
    <x v="3"/>
    <x v="7"/>
    <x v="2"/>
  </r>
  <r>
    <s v="TX501301"/>
    <x v="6"/>
    <x v="1"/>
    <n v="42.2"/>
    <n v="84.4"/>
    <d v="2025-02-19T00:00:00"/>
    <d v="2025-02-20T00:00:00"/>
    <s v="F"/>
    <x v="1"/>
    <x v="1"/>
    <x v="0"/>
    <x v="23"/>
    <x v="3"/>
    <x v="7"/>
    <x v="2"/>
  </r>
  <r>
    <s v="TX501302"/>
    <x v="13"/>
    <x v="2"/>
    <n v="20.5"/>
    <n v="61.5"/>
    <d v="2025-02-19T00:00:00"/>
    <d v="2025-02-20T00:00:00"/>
    <s v="M"/>
    <x v="0"/>
    <x v="1"/>
    <x v="0"/>
    <x v="6"/>
    <x v="3"/>
    <x v="7"/>
    <x v="1"/>
  </r>
  <r>
    <s v="TX501303"/>
    <x v="2"/>
    <x v="0"/>
    <n v="190.4"/>
    <n v="190.4"/>
    <d v="2025-02-19T00:00:00"/>
    <d v="2025-02-24T00:00:00"/>
    <s v="M"/>
    <x v="1"/>
    <x v="4"/>
    <x v="0"/>
    <x v="6"/>
    <x v="0"/>
    <x v="7"/>
    <x v="1"/>
  </r>
  <r>
    <s v="TX501304"/>
    <x v="2"/>
    <x v="0"/>
    <n v="121.9"/>
    <n v="121.9"/>
    <d v="2025-02-19T00:00:00"/>
    <d v="2025-02-21T00:00:00"/>
    <s v="F"/>
    <x v="1"/>
    <x v="2"/>
    <x v="0"/>
    <x v="6"/>
    <x v="1"/>
    <x v="7"/>
    <x v="2"/>
  </r>
  <r>
    <s v="TX501305"/>
    <x v="2"/>
    <x v="13"/>
    <n v="149.19999999999999"/>
    <n v="895.19999999999993"/>
    <d v="2025-02-19T00:00:00"/>
    <d v="2025-02-20T00:00:00"/>
    <s v="F"/>
    <x v="2"/>
    <x v="2"/>
    <x v="0"/>
    <x v="7"/>
    <x v="3"/>
    <x v="7"/>
    <x v="2"/>
  </r>
  <r>
    <s v="TX501306"/>
    <x v="2"/>
    <x v="0"/>
    <n v="54.1"/>
    <n v="54.1"/>
    <d v="2025-02-19T00:00:00"/>
    <d v="2025-02-28T00:00:00"/>
    <s v="F"/>
    <x v="2"/>
    <x v="2"/>
    <x v="0"/>
    <x v="7"/>
    <x v="8"/>
    <x v="7"/>
    <x v="2"/>
  </r>
  <r>
    <s v="TX501307"/>
    <x v="5"/>
    <x v="1"/>
    <n v="27.4"/>
    <n v="54.8"/>
    <d v="2025-02-19T00:00:00"/>
    <d v="2025-02-21T00:00:00"/>
    <s v="M"/>
    <x v="1"/>
    <x v="0"/>
    <x v="0"/>
    <x v="8"/>
    <x v="1"/>
    <x v="7"/>
    <x v="1"/>
  </r>
  <r>
    <s v="TX501308"/>
    <x v="0"/>
    <x v="15"/>
    <n v="30.4"/>
    <n v="395.2"/>
    <d v="2025-02-19T00:00:00"/>
    <d v="2025-02-20T00:00:00"/>
    <s v="F"/>
    <x v="0"/>
    <x v="2"/>
    <x v="0"/>
    <x v="8"/>
    <x v="3"/>
    <x v="7"/>
    <x v="2"/>
  </r>
  <r>
    <s v="TX501309"/>
    <x v="12"/>
    <x v="2"/>
    <n v="46.2"/>
    <n v="138.60000000000002"/>
    <d v="2025-02-19T00:00:00"/>
    <d v="2025-02-21T00:00:00"/>
    <s v="M"/>
    <x v="2"/>
    <x v="1"/>
    <x v="0"/>
    <x v="17"/>
    <x v="1"/>
    <x v="7"/>
    <x v="1"/>
  </r>
  <r>
    <s v="TX501310"/>
    <x v="7"/>
    <x v="8"/>
    <n v="78.599999999999994"/>
    <n v="628.79999999999995"/>
    <d v="2025-02-19T00:00:00"/>
    <d v="2025-02-23T00:00:00"/>
    <s v="M"/>
    <x v="3"/>
    <x v="0"/>
    <x v="0"/>
    <x v="17"/>
    <x v="5"/>
    <x v="7"/>
    <x v="1"/>
  </r>
  <r>
    <s v="TX501311"/>
    <x v="17"/>
    <x v="7"/>
    <n v="25.9"/>
    <n v="259"/>
    <d v="2025-02-19T00:00:00"/>
    <d v="2025-02-25T00:00:00"/>
    <s v="M"/>
    <x v="4"/>
    <x v="0"/>
    <x v="0"/>
    <x v="9"/>
    <x v="4"/>
    <x v="7"/>
    <x v="1"/>
  </r>
  <r>
    <s v="TX501312"/>
    <x v="6"/>
    <x v="0"/>
    <n v="134.80000000000001"/>
    <n v="134.80000000000001"/>
    <d v="2025-02-19T00:00:00"/>
    <d v="2025-02-21T00:00:00"/>
    <s v="M"/>
    <x v="2"/>
    <x v="2"/>
    <x v="0"/>
    <x v="9"/>
    <x v="1"/>
    <x v="7"/>
    <x v="1"/>
  </r>
  <r>
    <s v="TX501313"/>
    <x v="15"/>
    <x v="9"/>
    <n v="43.1"/>
    <n v="215.5"/>
    <d v="2025-02-19T00:00:00"/>
    <d v="2025-02-21T00:00:00"/>
    <s v="F"/>
    <x v="0"/>
    <x v="0"/>
    <x v="0"/>
    <x v="11"/>
    <x v="1"/>
    <x v="7"/>
    <x v="2"/>
  </r>
  <r>
    <s v="TX501314"/>
    <x v="2"/>
    <x v="1"/>
    <n v="215.6"/>
    <n v="431.2"/>
    <d v="2025-02-19T00:00:00"/>
    <d v="2025-02-20T00:00:00"/>
    <s v="F"/>
    <x v="2"/>
    <x v="0"/>
    <x v="0"/>
    <x v="18"/>
    <x v="3"/>
    <x v="7"/>
    <x v="2"/>
  </r>
  <r>
    <s v="TX501315"/>
    <x v="6"/>
    <x v="1"/>
    <n v="80.7"/>
    <n v="161.4"/>
    <d v="2025-02-19T00:00:00"/>
    <d v="2025-02-22T00:00:00"/>
    <s v="F"/>
    <x v="3"/>
    <x v="0"/>
    <x v="0"/>
    <x v="18"/>
    <x v="2"/>
    <x v="7"/>
    <x v="2"/>
  </r>
  <r>
    <s v="TX501316"/>
    <x v="10"/>
    <x v="3"/>
    <n v="20.6"/>
    <n v="144.20000000000002"/>
    <d v="2025-02-19T00:00:00"/>
    <d v="2025-02-24T00:00:00"/>
    <s v=""/>
    <x v="2"/>
    <x v="1"/>
    <x v="0"/>
    <x v="19"/>
    <x v="0"/>
    <x v="7"/>
    <x v="0"/>
  </r>
  <r>
    <s v="TX501317"/>
    <x v="12"/>
    <x v="2"/>
    <n v="37.1"/>
    <n v="111.30000000000001"/>
    <d v="2025-02-19T00:00:00"/>
    <d v="2025-02-20T00:00:00"/>
    <s v="F"/>
    <x v="0"/>
    <x v="0"/>
    <x v="0"/>
    <x v="52"/>
    <x v="3"/>
    <x v="7"/>
    <x v="2"/>
  </r>
  <r>
    <s v="TX501318"/>
    <x v="12"/>
    <x v="0"/>
    <n v="104.8"/>
    <n v="104.8"/>
    <d v="2025-02-20T00:00:00"/>
    <d v="2025-02-22T00:00:00"/>
    <s v="F"/>
    <x v="0"/>
    <x v="0"/>
    <x v="0"/>
    <x v="13"/>
    <x v="1"/>
    <x v="7"/>
    <x v="2"/>
  </r>
  <r>
    <s v="TX501319"/>
    <x v="8"/>
    <x v="1"/>
    <n v="59"/>
    <n v="118"/>
    <d v="2025-02-20T00:00:00"/>
    <d v="2025-02-21T00:00:00"/>
    <s v="M"/>
    <x v="1"/>
    <x v="0"/>
    <x v="0"/>
    <x v="21"/>
    <x v="3"/>
    <x v="7"/>
    <x v="1"/>
  </r>
  <r>
    <s v="TX501320"/>
    <x v="8"/>
    <x v="1"/>
    <n v="32.299999999999997"/>
    <n v="64.599999999999994"/>
    <d v="2025-02-20T00:00:00"/>
    <d v="2025-02-21T00:00:00"/>
    <s v="M"/>
    <x v="0"/>
    <x v="2"/>
    <x v="0"/>
    <x v="21"/>
    <x v="3"/>
    <x v="7"/>
    <x v="1"/>
  </r>
  <r>
    <s v="TX501321"/>
    <x v="8"/>
    <x v="12"/>
    <n v="28.9"/>
    <n v="115.6"/>
    <d v="2025-02-20T00:00:00"/>
    <d v="2025-02-27T00:00:00"/>
    <s v="M"/>
    <x v="0"/>
    <x v="0"/>
    <x v="0"/>
    <x v="1"/>
    <x v="6"/>
    <x v="7"/>
    <x v="1"/>
  </r>
  <r>
    <s v="TX501322"/>
    <x v="0"/>
    <x v="1"/>
    <n v="29.6"/>
    <n v="59.2"/>
    <d v="2025-02-20T00:00:00"/>
    <d v="2025-02-22T00:00:00"/>
    <s v="M"/>
    <x v="0"/>
    <x v="0"/>
    <x v="0"/>
    <x v="1"/>
    <x v="1"/>
    <x v="7"/>
    <x v="1"/>
  </r>
  <r>
    <s v="TX501323"/>
    <x v="0"/>
    <x v="9"/>
    <n v="29.4"/>
    <n v="147"/>
    <d v="2025-02-20T00:00:00"/>
    <d v="2025-02-23T00:00:00"/>
    <s v="F"/>
    <x v="0"/>
    <x v="0"/>
    <x v="0"/>
    <x v="1"/>
    <x v="2"/>
    <x v="7"/>
    <x v="2"/>
  </r>
  <r>
    <s v="TX501324"/>
    <x v="1"/>
    <x v="1"/>
    <n v="40.6"/>
    <n v="81.2"/>
    <d v="2025-02-20T00:00:00"/>
    <d v="2025-02-21T00:00:00"/>
    <s v="M"/>
    <x v="0"/>
    <x v="4"/>
    <x v="0"/>
    <x v="2"/>
    <x v="3"/>
    <x v="7"/>
    <x v="1"/>
  </r>
  <r>
    <s v="TX501325"/>
    <x v="0"/>
    <x v="2"/>
    <n v="32.5"/>
    <n v="97.5"/>
    <d v="2025-02-20T00:00:00"/>
    <d v="2025-02-21T00:00:00"/>
    <s v="M"/>
    <x v="3"/>
    <x v="2"/>
    <x v="0"/>
    <x v="22"/>
    <x v="3"/>
    <x v="7"/>
    <x v="1"/>
  </r>
  <r>
    <s v="TX501326"/>
    <x v="15"/>
    <x v="0"/>
    <n v="26.2"/>
    <n v="26.2"/>
    <d v="2025-02-20T00:00:00"/>
    <d v="2025-02-22T00:00:00"/>
    <s v="M"/>
    <x v="2"/>
    <x v="0"/>
    <x v="0"/>
    <x v="55"/>
    <x v="1"/>
    <x v="7"/>
    <x v="1"/>
  </r>
  <r>
    <s v="TX501327"/>
    <x v="10"/>
    <x v="17"/>
    <n v="44"/>
    <n v="1320"/>
    <d v="2025-02-20T00:00:00"/>
    <d v="2025-02-26T00:00:00"/>
    <s v="M"/>
    <x v="4"/>
    <x v="0"/>
    <x v="0"/>
    <x v="3"/>
    <x v="4"/>
    <x v="7"/>
    <x v="1"/>
  </r>
  <r>
    <s v="TX501328"/>
    <x v="7"/>
    <x v="12"/>
    <n v="65.599999999999994"/>
    <n v="262.39999999999998"/>
    <d v="2025-02-20T00:00:00"/>
    <d v="2025-02-21T00:00:00"/>
    <s v="F"/>
    <x v="1"/>
    <x v="1"/>
    <x v="0"/>
    <x v="3"/>
    <x v="3"/>
    <x v="7"/>
    <x v="2"/>
  </r>
  <r>
    <s v="TX501329"/>
    <x v="5"/>
    <x v="4"/>
    <n v="32.6"/>
    <n v="391.20000000000005"/>
    <d v="2025-02-20T00:00:00"/>
    <d v="2025-02-21T00:00:00"/>
    <s v="M"/>
    <x v="4"/>
    <x v="0"/>
    <x v="0"/>
    <x v="3"/>
    <x v="3"/>
    <x v="7"/>
    <x v="1"/>
  </r>
  <r>
    <s v="TX501330"/>
    <x v="16"/>
    <x v="1"/>
    <n v="88.7"/>
    <n v="177.4"/>
    <d v="2025-02-20T00:00:00"/>
    <d v="2025-02-21T00:00:00"/>
    <s v=""/>
    <x v="3"/>
    <x v="2"/>
    <x v="0"/>
    <x v="3"/>
    <x v="3"/>
    <x v="7"/>
    <x v="0"/>
  </r>
  <r>
    <s v="TX501331"/>
    <x v="4"/>
    <x v="1"/>
    <n v="21.3"/>
    <n v="42.6"/>
    <d v="2025-02-20T00:00:00"/>
    <d v="2025-02-21T00:00:00"/>
    <s v="M"/>
    <x v="0"/>
    <x v="0"/>
    <x v="0"/>
    <x v="3"/>
    <x v="3"/>
    <x v="7"/>
    <x v="1"/>
  </r>
  <r>
    <s v="TX501332"/>
    <x v="4"/>
    <x v="13"/>
    <n v="50.6"/>
    <n v="303.60000000000002"/>
    <d v="2025-02-20T00:00:00"/>
    <d v="2025-02-24T00:00:00"/>
    <s v="F"/>
    <x v="2"/>
    <x v="0"/>
    <x v="0"/>
    <x v="3"/>
    <x v="5"/>
    <x v="7"/>
    <x v="2"/>
  </r>
  <r>
    <s v="TX501333"/>
    <x v="9"/>
    <x v="38"/>
    <n v="86.9"/>
    <n v="1824.9"/>
    <d v="2025-02-20T00:00:00"/>
    <d v="2025-02-23T00:00:00"/>
    <s v="F"/>
    <x v="0"/>
    <x v="1"/>
    <x v="0"/>
    <x v="3"/>
    <x v="2"/>
    <x v="7"/>
    <x v="2"/>
  </r>
  <r>
    <s v="TX501334"/>
    <x v="11"/>
    <x v="2"/>
    <n v="31.8"/>
    <n v="95.4"/>
    <d v="2025-02-20T00:00:00"/>
    <d v="2025-02-22T00:00:00"/>
    <s v="M"/>
    <x v="0"/>
    <x v="2"/>
    <x v="0"/>
    <x v="3"/>
    <x v="1"/>
    <x v="7"/>
    <x v="1"/>
  </r>
  <r>
    <s v="TX501335"/>
    <x v="8"/>
    <x v="0"/>
    <n v="19"/>
    <n v="19"/>
    <d v="2025-02-20T00:00:00"/>
    <d v="2025-02-21T00:00:00"/>
    <s v="F"/>
    <x v="0"/>
    <x v="2"/>
    <x v="0"/>
    <x v="3"/>
    <x v="3"/>
    <x v="7"/>
    <x v="2"/>
  </r>
  <r>
    <s v="TX501336"/>
    <x v="5"/>
    <x v="0"/>
    <n v="54.5"/>
    <n v="54.5"/>
    <d v="2025-02-20T00:00:00"/>
    <d v="2025-02-22T00:00:00"/>
    <s v="M"/>
    <x v="0"/>
    <x v="0"/>
    <x v="0"/>
    <x v="3"/>
    <x v="1"/>
    <x v="7"/>
    <x v="1"/>
  </r>
  <r>
    <s v="TX501337"/>
    <x v="9"/>
    <x v="9"/>
    <n v="68.900000000000006"/>
    <n v="344.5"/>
    <d v="2025-02-20T00:00:00"/>
    <d v="2025-02-22T00:00:00"/>
    <s v="M"/>
    <x v="4"/>
    <x v="1"/>
    <x v="0"/>
    <x v="3"/>
    <x v="1"/>
    <x v="7"/>
    <x v="1"/>
  </r>
  <r>
    <s v="TX501338"/>
    <x v="6"/>
    <x v="2"/>
    <n v="84"/>
    <n v="252"/>
    <d v="2025-02-20T00:00:00"/>
    <d v="2025-02-21T00:00:00"/>
    <s v="M"/>
    <x v="1"/>
    <x v="4"/>
    <x v="0"/>
    <x v="16"/>
    <x v="3"/>
    <x v="7"/>
    <x v="1"/>
  </r>
  <r>
    <s v="TX501339"/>
    <x v="15"/>
    <x v="8"/>
    <n v="23.1"/>
    <n v="184.8"/>
    <d v="2025-02-20T00:00:00"/>
    <d v="2025-02-25T00:00:00"/>
    <s v="M"/>
    <x v="0"/>
    <x v="2"/>
    <x v="0"/>
    <x v="23"/>
    <x v="0"/>
    <x v="7"/>
    <x v="1"/>
  </r>
  <r>
    <s v="TX501340"/>
    <x v="7"/>
    <x v="1"/>
    <n v="62.4"/>
    <n v="124.8"/>
    <d v="2025-02-20T00:00:00"/>
    <d v="2025-02-21T00:00:00"/>
    <s v="F"/>
    <x v="0"/>
    <x v="1"/>
    <x v="0"/>
    <x v="6"/>
    <x v="3"/>
    <x v="7"/>
    <x v="2"/>
  </r>
  <r>
    <s v="TX501341"/>
    <x v="6"/>
    <x v="4"/>
    <n v="40.700000000000003"/>
    <n v="488.40000000000003"/>
    <d v="2025-02-20T00:00:00"/>
    <d v="2025-02-22T00:00:00"/>
    <s v="M"/>
    <x v="1"/>
    <x v="2"/>
    <x v="0"/>
    <x v="6"/>
    <x v="1"/>
    <x v="7"/>
    <x v="1"/>
  </r>
  <r>
    <s v="TX501342"/>
    <x v="6"/>
    <x v="0"/>
    <n v="49.6"/>
    <n v="49.6"/>
    <d v="2025-02-20T00:00:00"/>
    <d v="2025-02-23T00:00:00"/>
    <s v="M"/>
    <x v="2"/>
    <x v="0"/>
    <x v="0"/>
    <x v="7"/>
    <x v="2"/>
    <x v="7"/>
    <x v="1"/>
  </r>
  <r>
    <s v="TX501343"/>
    <x v="7"/>
    <x v="41"/>
    <n v="66.599999999999994"/>
    <n v="2996.9999999999995"/>
    <d v="2025-02-20T00:00:00"/>
    <d v="2025-02-23T00:00:00"/>
    <s v="M"/>
    <x v="2"/>
    <x v="0"/>
    <x v="0"/>
    <x v="8"/>
    <x v="2"/>
    <x v="7"/>
    <x v="1"/>
  </r>
  <r>
    <s v="TX501344"/>
    <x v="8"/>
    <x v="2"/>
    <n v="26.4"/>
    <n v="79.199999999999989"/>
    <d v="2025-02-20T00:00:00"/>
    <d v="2025-02-21T00:00:00"/>
    <s v="F"/>
    <x v="1"/>
    <x v="1"/>
    <x v="0"/>
    <x v="8"/>
    <x v="3"/>
    <x v="7"/>
    <x v="2"/>
  </r>
  <r>
    <s v="TX501345"/>
    <x v="0"/>
    <x v="1"/>
    <n v="17.2"/>
    <n v="34.4"/>
    <d v="2025-02-20T00:00:00"/>
    <d v="2025-02-23T00:00:00"/>
    <s v="M"/>
    <x v="2"/>
    <x v="1"/>
    <x v="0"/>
    <x v="8"/>
    <x v="2"/>
    <x v="7"/>
    <x v="1"/>
  </r>
  <r>
    <s v="TX501346"/>
    <x v="5"/>
    <x v="8"/>
    <n v="58.1"/>
    <n v="464.8"/>
    <d v="2025-02-20T00:00:00"/>
    <d v="2025-02-23T00:00:00"/>
    <s v="F"/>
    <x v="4"/>
    <x v="0"/>
    <x v="0"/>
    <x v="8"/>
    <x v="2"/>
    <x v="7"/>
    <x v="2"/>
  </r>
  <r>
    <s v="TX501347"/>
    <x v="15"/>
    <x v="12"/>
    <n v="31.5"/>
    <n v="126"/>
    <d v="2025-02-20T00:00:00"/>
    <d v="2025-02-23T00:00:00"/>
    <s v="F"/>
    <x v="4"/>
    <x v="4"/>
    <x v="0"/>
    <x v="8"/>
    <x v="2"/>
    <x v="7"/>
    <x v="2"/>
  </r>
  <r>
    <s v="TX501348"/>
    <x v="0"/>
    <x v="0"/>
    <n v="27.1"/>
    <n v="27.1"/>
    <d v="2025-02-20T00:00:00"/>
    <d v="2025-02-22T00:00:00"/>
    <s v="F"/>
    <x v="0"/>
    <x v="1"/>
    <x v="0"/>
    <x v="17"/>
    <x v="1"/>
    <x v="7"/>
    <x v="2"/>
  </r>
  <r>
    <s v="TX501349"/>
    <x v="18"/>
    <x v="12"/>
    <n v="28.5"/>
    <n v="114"/>
    <d v="2025-02-20T00:00:00"/>
    <d v="2025-02-22T00:00:00"/>
    <s v="M"/>
    <x v="1"/>
    <x v="2"/>
    <x v="0"/>
    <x v="9"/>
    <x v="1"/>
    <x v="7"/>
    <x v="1"/>
  </r>
  <r>
    <s v="TX501350"/>
    <x v="10"/>
    <x v="0"/>
    <n v="40.5"/>
    <n v="40.5"/>
    <d v="2025-02-21T00:00:00"/>
    <d v="2025-02-23T00:00:00"/>
    <s v="O"/>
    <x v="2"/>
    <x v="0"/>
    <x v="0"/>
    <x v="9"/>
    <x v="1"/>
    <x v="7"/>
    <x v="3"/>
  </r>
  <r>
    <s v="TX501351"/>
    <x v="2"/>
    <x v="2"/>
    <n v="77.900000000000006"/>
    <n v="233.70000000000002"/>
    <d v="2025-02-21T00:00:00"/>
    <d v="2025-02-25T00:00:00"/>
    <s v="F"/>
    <x v="1"/>
    <x v="2"/>
    <x v="0"/>
    <x v="19"/>
    <x v="5"/>
    <x v="7"/>
    <x v="2"/>
  </r>
  <r>
    <s v="TX501352"/>
    <x v="18"/>
    <x v="12"/>
    <n v="37.1"/>
    <n v="148.4"/>
    <d v="2025-02-21T00:00:00"/>
    <d v="2025-02-23T00:00:00"/>
    <s v="M"/>
    <x v="4"/>
    <x v="2"/>
    <x v="0"/>
    <x v="19"/>
    <x v="1"/>
    <x v="7"/>
    <x v="1"/>
  </r>
  <r>
    <s v="TX501353"/>
    <x v="16"/>
    <x v="2"/>
    <n v="51.6"/>
    <n v="154.80000000000001"/>
    <d v="2025-02-21T00:00:00"/>
    <d v="2025-03-01T00:00:00"/>
    <s v="F"/>
    <x v="0"/>
    <x v="4"/>
    <x v="0"/>
    <x v="19"/>
    <x v="9"/>
    <x v="7"/>
    <x v="2"/>
  </r>
  <r>
    <s v="TX501354"/>
    <x v="7"/>
    <x v="2"/>
    <n v="98"/>
    <n v="294"/>
    <d v="2025-02-21T00:00:00"/>
    <d v="2025-02-22T00:00:00"/>
    <s v="M"/>
    <x v="1"/>
    <x v="1"/>
    <x v="0"/>
    <x v="19"/>
    <x v="3"/>
    <x v="7"/>
    <x v="1"/>
  </r>
  <r>
    <s v="TX501355"/>
    <x v="6"/>
    <x v="3"/>
    <n v="41.4"/>
    <n v="289.8"/>
    <d v="2025-02-21T00:00:00"/>
    <d v="2025-02-22T00:00:00"/>
    <s v="M"/>
    <x v="1"/>
    <x v="0"/>
    <x v="0"/>
    <x v="20"/>
    <x v="3"/>
    <x v="7"/>
    <x v="1"/>
  </r>
  <r>
    <s v="TX501356"/>
    <x v="11"/>
    <x v="8"/>
    <n v="34"/>
    <n v="272"/>
    <d v="2025-02-21T00:00:00"/>
    <d v="2025-02-26T00:00:00"/>
    <s v="F"/>
    <x v="0"/>
    <x v="2"/>
    <x v="0"/>
    <x v="52"/>
    <x v="0"/>
    <x v="7"/>
    <x v="2"/>
  </r>
  <r>
    <s v="TX501357"/>
    <x v="6"/>
    <x v="0"/>
    <n v="66.3"/>
    <n v="66.3"/>
    <d v="2025-02-21T00:00:00"/>
    <d v="2025-02-22T00:00:00"/>
    <s v="F"/>
    <x v="1"/>
    <x v="0"/>
    <x v="0"/>
    <x v="13"/>
    <x v="3"/>
    <x v="7"/>
    <x v="2"/>
  </r>
  <r>
    <s v="TX501358"/>
    <x v="7"/>
    <x v="0"/>
    <n v="33.5"/>
    <n v="33.5"/>
    <d v="2025-02-21T00:00:00"/>
    <d v="2025-02-25T00:00:00"/>
    <s v="M"/>
    <x v="2"/>
    <x v="0"/>
    <x v="0"/>
    <x v="13"/>
    <x v="5"/>
    <x v="7"/>
    <x v="1"/>
  </r>
  <r>
    <s v="TX501359"/>
    <x v="12"/>
    <x v="1"/>
    <n v="70.8"/>
    <n v="141.6"/>
    <d v="2025-02-21T00:00:00"/>
    <d v="2025-02-22T00:00:00"/>
    <s v=""/>
    <x v="0"/>
    <x v="0"/>
    <x v="0"/>
    <x v="28"/>
    <x v="3"/>
    <x v="7"/>
    <x v="0"/>
  </r>
  <r>
    <s v="TX501360"/>
    <x v="6"/>
    <x v="1"/>
    <n v="127.6"/>
    <n v="255.2"/>
    <d v="2025-02-21T00:00:00"/>
    <d v="2025-02-22T00:00:00"/>
    <s v="M"/>
    <x v="0"/>
    <x v="0"/>
    <x v="0"/>
    <x v="21"/>
    <x v="3"/>
    <x v="7"/>
    <x v="1"/>
  </r>
  <r>
    <s v="TX501361"/>
    <x v="6"/>
    <x v="2"/>
    <n v="95.9"/>
    <n v="287.70000000000005"/>
    <d v="2025-02-21T00:00:00"/>
    <d v="2025-02-22T00:00:00"/>
    <s v="F"/>
    <x v="1"/>
    <x v="1"/>
    <x v="0"/>
    <x v="21"/>
    <x v="3"/>
    <x v="7"/>
    <x v="2"/>
  </r>
  <r>
    <s v="TX501362"/>
    <x v="2"/>
    <x v="1"/>
    <n v="78.099999999999994"/>
    <n v="156.19999999999999"/>
    <d v="2025-02-21T00:00:00"/>
    <d v="2025-02-22T00:00:00"/>
    <s v="M"/>
    <x v="0"/>
    <x v="0"/>
    <x v="0"/>
    <x v="1"/>
    <x v="3"/>
    <x v="7"/>
    <x v="1"/>
  </r>
  <r>
    <s v="TX501363"/>
    <x v="13"/>
    <x v="1"/>
    <n v="43.2"/>
    <n v="86.4"/>
    <d v="2025-02-21T00:00:00"/>
    <d v="2025-02-22T00:00:00"/>
    <s v=""/>
    <x v="1"/>
    <x v="1"/>
    <x v="0"/>
    <x v="1"/>
    <x v="3"/>
    <x v="7"/>
    <x v="0"/>
  </r>
  <r>
    <s v="TX501364"/>
    <x v="8"/>
    <x v="12"/>
    <n v="28.4"/>
    <n v="113.6"/>
    <d v="2025-02-21T00:00:00"/>
    <d v="2025-02-27T00:00:00"/>
    <s v="M"/>
    <x v="2"/>
    <x v="0"/>
    <x v="0"/>
    <x v="3"/>
    <x v="4"/>
    <x v="7"/>
    <x v="1"/>
  </r>
  <r>
    <s v="TX501365"/>
    <x v="2"/>
    <x v="1"/>
    <n v="81.7"/>
    <n v="163.4"/>
    <d v="2025-02-21T00:00:00"/>
    <d v="2025-02-21T00:00:00"/>
    <s v="M"/>
    <x v="0"/>
    <x v="0"/>
    <x v="0"/>
    <x v="3"/>
    <x v="7"/>
    <x v="7"/>
    <x v="1"/>
  </r>
  <r>
    <s v="TX501366"/>
    <x v="18"/>
    <x v="1"/>
    <n v="56.7"/>
    <n v="113.4"/>
    <d v="2025-02-21T00:00:00"/>
    <d v="2025-02-23T00:00:00"/>
    <s v=""/>
    <x v="0"/>
    <x v="2"/>
    <x v="0"/>
    <x v="3"/>
    <x v="1"/>
    <x v="7"/>
    <x v="0"/>
  </r>
  <r>
    <s v="TX501367"/>
    <x v="3"/>
    <x v="12"/>
    <n v="66.5"/>
    <n v="266"/>
    <d v="2025-02-21T00:00:00"/>
    <d v="2025-02-21T00:00:00"/>
    <s v="F"/>
    <x v="0"/>
    <x v="2"/>
    <x v="0"/>
    <x v="3"/>
    <x v="7"/>
    <x v="7"/>
    <x v="2"/>
  </r>
  <r>
    <s v="TX501368"/>
    <x v="1"/>
    <x v="1"/>
    <n v="105.3"/>
    <n v="210.6"/>
    <d v="2025-02-21T00:00:00"/>
    <d v="2025-02-25T00:00:00"/>
    <s v="M"/>
    <x v="0"/>
    <x v="1"/>
    <x v="0"/>
    <x v="3"/>
    <x v="5"/>
    <x v="7"/>
    <x v="1"/>
  </r>
  <r>
    <s v="TX501369"/>
    <x v="10"/>
    <x v="9"/>
    <n v="33.799999999999997"/>
    <n v="169"/>
    <d v="2025-02-21T00:00:00"/>
    <d v="2025-02-26T00:00:00"/>
    <s v="M"/>
    <x v="0"/>
    <x v="0"/>
    <x v="0"/>
    <x v="3"/>
    <x v="0"/>
    <x v="7"/>
    <x v="1"/>
  </r>
  <r>
    <s v="TX501370"/>
    <x v="6"/>
    <x v="2"/>
    <n v="63.4"/>
    <n v="190.2"/>
    <d v="2025-02-21T00:00:00"/>
    <d v="2025-02-26T00:00:00"/>
    <s v="M"/>
    <x v="3"/>
    <x v="1"/>
    <x v="0"/>
    <x v="24"/>
    <x v="0"/>
    <x v="7"/>
    <x v="1"/>
  </r>
  <r>
    <s v="TX501371"/>
    <x v="6"/>
    <x v="2"/>
    <n v="49"/>
    <n v="147"/>
    <d v="2025-02-21T00:00:00"/>
    <d v="2025-02-25T00:00:00"/>
    <s v="M"/>
    <x v="3"/>
    <x v="0"/>
    <x v="0"/>
    <x v="49"/>
    <x v="5"/>
    <x v="7"/>
    <x v="1"/>
  </r>
  <r>
    <s v="TX501372"/>
    <x v="1"/>
    <x v="1"/>
    <n v="40"/>
    <n v="80"/>
    <d v="2025-02-21T00:00:00"/>
    <d v="2025-02-22T00:00:00"/>
    <s v="F"/>
    <x v="4"/>
    <x v="1"/>
    <x v="0"/>
    <x v="23"/>
    <x v="3"/>
    <x v="7"/>
    <x v="2"/>
  </r>
  <r>
    <s v="TX501373"/>
    <x v="6"/>
    <x v="12"/>
    <n v="86.3"/>
    <n v="345.2"/>
    <d v="2025-02-21T00:00:00"/>
    <d v="2025-02-22T00:00:00"/>
    <s v="O"/>
    <x v="0"/>
    <x v="0"/>
    <x v="0"/>
    <x v="6"/>
    <x v="3"/>
    <x v="7"/>
    <x v="3"/>
  </r>
  <r>
    <s v="TX501374"/>
    <x v="6"/>
    <x v="0"/>
    <n v="51.6"/>
    <n v="51.6"/>
    <d v="2025-02-21T00:00:00"/>
    <d v="2025-02-23T00:00:00"/>
    <s v="F"/>
    <x v="2"/>
    <x v="2"/>
    <x v="0"/>
    <x v="6"/>
    <x v="1"/>
    <x v="7"/>
    <x v="2"/>
  </r>
  <r>
    <s v="TX501375"/>
    <x v="10"/>
    <x v="2"/>
    <n v="26.7"/>
    <n v="80.099999999999994"/>
    <d v="2025-02-21T00:00:00"/>
    <d v="2025-02-26T00:00:00"/>
    <s v="F"/>
    <x v="2"/>
    <x v="1"/>
    <x v="0"/>
    <x v="6"/>
    <x v="0"/>
    <x v="7"/>
    <x v="2"/>
  </r>
  <r>
    <s v="TX501376"/>
    <x v="18"/>
    <x v="1"/>
    <n v="68.099999999999994"/>
    <n v="136.19999999999999"/>
    <d v="2025-02-21T00:00:00"/>
    <d v="2025-02-22T00:00:00"/>
    <s v="M"/>
    <x v="0"/>
    <x v="1"/>
    <x v="0"/>
    <x v="6"/>
    <x v="3"/>
    <x v="7"/>
    <x v="1"/>
  </r>
  <r>
    <s v="TX501377"/>
    <x v="1"/>
    <x v="0"/>
    <n v="81.7"/>
    <n v="81.7"/>
    <d v="2025-02-21T00:00:00"/>
    <d v="2025-02-22T00:00:00"/>
    <s v="M"/>
    <x v="0"/>
    <x v="0"/>
    <x v="0"/>
    <x v="7"/>
    <x v="3"/>
    <x v="7"/>
    <x v="1"/>
  </r>
  <r>
    <s v="TX501378"/>
    <x v="18"/>
    <x v="7"/>
    <n v="25.1"/>
    <n v="251"/>
    <d v="2025-02-21T00:00:00"/>
    <d v="2025-02-24T00:00:00"/>
    <s v="M"/>
    <x v="3"/>
    <x v="1"/>
    <x v="0"/>
    <x v="8"/>
    <x v="2"/>
    <x v="7"/>
    <x v="1"/>
  </r>
  <r>
    <s v="TX501379"/>
    <x v="8"/>
    <x v="0"/>
    <n v="20.2"/>
    <n v="20.2"/>
    <d v="2025-02-21T00:00:00"/>
    <d v="2025-02-25T00:00:00"/>
    <s v="F"/>
    <x v="0"/>
    <x v="0"/>
    <x v="0"/>
    <x v="8"/>
    <x v="5"/>
    <x v="7"/>
    <x v="2"/>
  </r>
  <r>
    <s v="TX501380"/>
    <x v="8"/>
    <x v="2"/>
    <n v="15.4"/>
    <n v="46.2"/>
    <d v="2025-02-21T00:00:00"/>
    <d v="2025-02-22T00:00:00"/>
    <s v="M"/>
    <x v="1"/>
    <x v="2"/>
    <x v="0"/>
    <x v="8"/>
    <x v="3"/>
    <x v="7"/>
    <x v="1"/>
  </r>
  <r>
    <s v="TX501381"/>
    <x v="10"/>
    <x v="0"/>
    <n v="59.2"/>
    <n v="59.2"/>
    <d v="2025-02-21T00:00:00"/>
    <d v="2025-02-22T00:00:00"/>
    <s v="M"/>
    <x v="2"/>
    <x v="2"/>
    <x v="0"/>
    <x v="17"/>
    <x v="3"/>
    <x v="7"/>
    <x v="1"/>
  </r>
  <r>
    <s v="TX501382"/>
    <x v="0"/>
    <x v="0"/>
    <n v="46.7"/>
    <n v="46.7"/>
    <d v="2025-02-21T00:00:00"/>
    <d v="2025-02-26T00:00:00"/>
    <s v="M"/>
    <x v="0"/>
    <x v="0"/>
    <x v="0"/>
    <x v="17"/>
    <x v="0"/>
    <x v="7"/>
    <x v="1"/>
  </r>
  <r>
    <s v="TX501383"/>
    <x v="6"/>
    <x v="20"/>
    <n v="41.6"/>
    <n v="624"/>
    <d v="2025-02-21T00:00:00"/>
    <d v="2025-02-23T00:00:00"/>
    <s v="M"/>
    <x v="1"/>
    <x v="0"/>
    <x v="0"/>
    <x v="26"/>
    <x v="1"/>
    <x v="7"/>
    <x v="1"/>
  </r>
  <r>
    <s v="TX501384"/>
    <x v="8"/>
    <x v="1"/>
    <n v="19.2"/>
    <n v="38.4"/>
    <d v="2025-02-21T00:00:00"/>
    <d v="2025-02-24T00:00:00"/>
    <s v="M"/>
    <x v="4"/>
    <x v="2"/>
    <x v="0"/>
    <x v="9"/>
    <x v="2"/>
    <x v="7"/>
    <x v="1"/>
  </r>
  <r>
    <s v="TX501385"/>
    <x v="17"/>
    <x v="3"/>
    <n v="41.8"/>
    <n v="292.59999999999997"/>
    <d v="2025-02-21T00:00:00"/>
    <d v="2025-02-23T00:00:00"/>
    <s v="F"/>
    <x v="2"/>
    <x v="0"/>
    <x v="0"/>
    <x v="11"/>
    <x v="1"/>
    <x v="7"/>
    <x v="2"/>
  </r>
  <r>
    <s v="TX501386"/>
    <x v="8"/>
    <x v="13"/>
    <n v="37.4"/>
    <n v="224.39999999999998"/>
    <d v="2025-02-21T00:00:00"/>
    <d v="2025-02-23T00:00:00"/>
    <s v="M"/>
    <x v="0"/>
    <x v="2"/>
    <x v="0"/>
    <x v="11"/>
    <x v="1"/>
    <x v="7"/>
    <x v="1"/>
  </r>
  <r>
    <s v="TX501387"/>
    <x v="10"/>
    <x v="2"/>
    <n v="60.2"/>
    <n v="180.60000000000002"/>
    <d v="2025-02-21T00:00:00"/>
    <d v="2025-02-24T00:00:00"/>
    <s v="M"/>
    <x v="4"/>
    <x v="1"/>
    <x v="0"/>
    <x v="38"/>
    <x v="2"/>
    <x v="7"/>
    <x v="1"/>
  </r>
  <r>
    <s v="TX501388"/>
    <x v="9"/>
    <x v="1"/>
    <n v="91.5"/>
    <n v="183"/>
    <d v="2025-02-22T00:00:00"/>
    <d v="2025-02-23T00:00:00"/>
    <s v="M"/>
    <x v="0"/>
    <x v="0"/>
    <x v="0"/>
    <x v="13"/>
    <x v="3"/>
    <x v="7"/>
    <x v="1"/>
  </r>
  <r>
    <s v="TX501389"/>
    <x v="3"/>
    <x v="9"/>
    <n v="55.7"/>
    <n v="278.5"/>
    <d v="2025-02-22T00:00:00"/>
    <d v="2025-02-24T00:00:00"/>
    <s v=""/>
    <x v="1"/>
    <x v="2"/>
    <x v="0"/>
    <x v="21"/>
    <x v="1"/>
    <x v="7"/>
    <x v="0"/>
  </r>
  <r>
    <s v="TX501390"/>
    <x v="7"/>
    <x v="1"/>
    <n v="76.7"/>
    <n v="153.4"/>
    <d v="2025-02-22T00:00:00"/>
    <d v="2025-02-24T00:00:00"/>
    <s v="M"/>
    <x v="0"/>
    <x v="1"/>
    <x v="0"/>
    <x v="21"/>
    <x v="1"/>
    <x v="7"/>
    <x v="1"/>
  </r>
  <r>
    <s v="TX501391"/>
    <x v="8"/>
    <x v="38"/>
    <n v="28.2"/>
    <n v="592.19999999999993"/>
    <d v="2025-02-22T00:00:00"/>
    <d v="2025-02-27T00:00:00"/>
    <s v="M"/>
    <x v="2"/>
    <x v="0"/>
    <x v="0"/>
    <x v="1"/>
    <x v="0"/>
    <x v="7"/>
    <x v="1"/>
  </r>
  <r>
    <s v="TX501392"/>
    <x v="7"/>
    <x v="9"/>
    <n v="93.2"/>
    <n v="466"/>
    <d v="2025-02-22T00:00:00"/>
    <d v="2025-02-24T00:00:00"/>
    <s v="F"/>
    <x v="4"/>
    <x v="2"/>
    <x v="0"/>
    <x v="1"/>
    <x v="1"/>
    <x v="7"/>
    <x v="2"/>
  </r>
  <r>
    <s v="TX501393"/>
    <x v="17"/>
    <x v="0"/>
    <n v="33.299999999999997"/>
    <n v="33.299999999999997"/>
    <d v="2025-02-22T00:00:00"/>
    <d v="2025-02-23T00:00:00"/>
    <s v="M"/>
    <x v="4"/>
    <x v="0"/>
    <x v="0"/>
    <x v="2"/>
    <x v="3"/>
    <x v="7"/>
    <x v="1"/>
  </r>
  <r>
    <s v="TX501394"/>
    <x v="10"/>
    <x v="1"/>
    <n v="39.1"/>
    <n v="78.2"/>
    <d v="2025-02-22T00:00:00"/>
    <d v="2025-02-25T00:00:00"/>
    <s v="M"/>
    <x v="0"/>
    <x v="0"/>
    <x v="0"/>
    <x v="44"/>
    <x v="2"/>
    <x v="7"/>
    <x v="1"/>
  </r>
  <r>
    <s v="TX501395"/>
    <x v="7"/>
    <x v="4"/>
    <n v="45.3"/>
    <n v="543.59999999999991"/>
    <d v="2025-02-22T00:00:00"/>
    <d v="2025-02-23T00:00:00"/>
    <s v="M"/>
    <x v="2"/>
    <x v="0"/>
    <x v="0"/>
    <x v="33"/>
    <x v="3"/>
    <x v="7"/>
    <x v="1"/>
  </r>
  <r>
    <s v="TX501396"/>
    <x v="9"/>
    <x v="3"/>
    <n v="33.9"/>
    <n v="237.29999999999998"/>
    <d v="2025-02-22T00:00:00"/>
    <d v="2025-02-23T00:00:00"/>
    <s v="M"/>
    <x v="4"/>
    <x v="0"/>
    <x v="0"/>
    <x v="33"/>
    <x v="3"/>
    <x v="7"/>
    <x v="1"/>
  </r>
  <r>
    <s v="TX501397"/>
    <x v="8"/>
    <x v="2"/>
    <n v="19"/>
    <n v="57"/>
    <d v="2025-02-22T00:00:00"/>
    <d v="2025-02-23T00:00:00"/>
    <s v="M"/>
    <x v="0"/>
    <x v="2"/>
    <x v="0"/>
    <x v="15"/>
    <x v="3"/>
    <x v="7"/>
    <x v="1"/>
  </r>
  <r>
    <s v="TX501398"/>
    <x v="4"/>
    <x v="0"/>
    <n v="41.9"/>
    <n v="41.9"/>
    <d v="2025-02-22T00:00:00"/>
    <d v="2025-02-25T00:00:00"/>
    <s v="F"/>
    <x v="2"/>
    <x v="0"/>
    <x v="0"/>
    <x v="22"/>
    <x v="2"/>
    <x v="7"/>
    <x v="2"/>
  </r>
  <r>
    <s v="TX501399"/>
    <x v="1"/>
    <x v="12"/>
    <n v="37.5"/>
    <n v="150"/>
    <d v="2025-02-22T00:00:00"/>
    <d v="2025-02-22T00:00:00"/>
    <s v="F"/>
    <x v="0"/>
    <x v="0"/>
    <x v="0"/>
    <x v="3"/>
    <x v="7"/>
    <x v="7"/>
    <x v="2"/>
  </r>
  <r>
    <s v="TX501400"/>
    <x v="0"/>
    <x v="1"/>
    <n v="40.799999999999997"/>
    <n v="81.599999999999994"/>
    <d v="2025-02-22T00:00:00"/>
    <d v="2025-02-25T00:00:00"/>
    <s v="M"/>
    <x v="0"/>
    <x v="0"/>
    <x v="0"/>
    <x v="3"/>
    <x v="2"/>
    <x v="7"/>
    <x v="1"/>
  </r>
  <r>
    <s v="TX501401"/>
    <x v="0"/>
    <x v="12"/>
    <n v="23.1"/>
    <n v="92.4"/>
    <d v="2025-02-22T00:00:00"/>
    <d v="2025-02-23T00:00:00"/>
    <s v="F"/>
    <x v="4"/>
    <x v="0"/>
    <x v="0"/>
    <x v="3"/>
    <x v="3"/>
    <x v="7"/>
    <x v="2"/>
  </r>
  <r>
    <s v="TX501402"/>
    <x v="8"/>
    <x v="9"/>
    <n v="39.299999999999997"/>
    <n v="196.5"/>
    <d v="2025-02-22T00:00:00"/>
    <d v="2025-02-23T00:00:00"/>
    <s v="F"/>
    <x v="0"/>
    <x v="0"/>
    <x v="0"/>
    <x v="3"/>
    <x v="3"/>
    <x v="7"/>
    <x v="2"/>
  </r>
  <r>
    <s v="TX501403"/>
    <x v="2"/>
    <x v="12"/>
    <n v="85.2"/>
    <n v="340.8"/>
    <d v="2025-02-22T00:00:00"/>
    <d v="2025-02-27T00:00:00"/>
    <s v="M"/>
    <x v="2"/>
    <x v="0"/>
    <x v="0"/>
    <x v="3"/>
    <x v="0"/>
    <x v="7"/>
    <x v="1"/>
  </r>
  <r>
    <s v="TX501404"/>
    <x v="8"/>
    <x v="13"/>
    <n v="16"/>
    <n v="96"/>
    <d v="2025-02-22T00:00:00"/>
    <d v="2025-02-25T00:00:00"/>
    <s v="M"/>
    <x v="1"/>
    <x v="0"/>
    <x v="0"/>
    <x v="3"/>
    <x v="2"/>
    <x v="7"/>
    <x v="1"/>
  </r>
  <r>
    <s v="TX501405"/>
    <x v="1"/>
    <x v="1"/>
    <n v="33.799999999999997"/>
    <n v="67.599999999999994"/>
    <d v="2025-02-22T00:00:00"/>
    <d v="2025-02-26T00:00:00"/>
    <s v="F"/>
    <x v="1"/>
    <x v="0"/>
    <x v="0"/>
    <x v="3"/>
    <x v="5"/>
    <x v="7"/>
    <x v="2"/>
  </r>
  <r>
    <s v="TX501406"/>
    <x v="3"/>
    <x v="0"/>
    <n v="70"/>
    <n v="70"/>
    <d v="2025-02-22T00:00:00"/>
    <d v="2025-02-23T00:00:00"/>
    <s v="F"/>
    <x v="0"/>
    <x v="0"/>
    <x v="0"/>
    <x v="3"/>
    <x v="3"/>
    <x v="7"/>
    <x v="2"/>
  </r>
  <r>
    <s v="TX501407"/>
    <x v="9"/>
    <x v="0"/>
    <n v="88"/>
    <n v="88"/>
    <d v="2025-02-22T00:00:00"/>
    <d v="2025-02-27T00:00:00"/>
    <s v="F"/>
    <x v="3"/>
    <x v="0"/>
    <x v="0"/>
    <x v="3"/>
    <x v="0"/>
    <x v="7"/>
    <x v="2"/>
  </r>
  <r>
    <s v="TX501408"/>
    <x v="2"/>
    <x v="2"/>
    <n v="74.099999999999994"/>
    <n v="222.29999999999998"/>
    <d v="2025-02-22T00:00:00"/>
    <d v="2025-02-22T00:00:00"/>
    <s v="M"/>
    <x v="4"/>
    <x v="1"/>
    <x v="0"/>
    <x v="3"/>
    <x v="7"/>
    <x v="7"/>
    <x v="1"/>
  </r>
  <r>
    <s v="TX501409"/>
    <x v="2"/>
    <x v="0"/>
    <n v="161.9"/>
    <n v="161.9"/>
    <d v="2025-02-22T00:00:00"/>
    <d v="2025-02-24T00:00:00"/>
    <s v="M"/>
    <x v="2"/>
    <x v="0"/>
    <x v="0"/>
    <x v="3"/>
    <x v="1"/>
    <x v="7"/>
    <x v="1"/>
  </r>
  <r>
    <s v="TX501410"/>
    <x v="4"/>
    <x v="1"/>
    <n v="44"/>
    <n v="88"/>
    <d v="2025-02-22T00:00:00"/>
    <d v="2025-02-23T00:00:00"/>
    <s v="O"/>
    <x v="4"/>
    <x v="1"/>
    <x v="0"/>
    <x v="3"/>
    <x v="3"/>
    <x v="7"/>
    <x v="3"/>
  </r>
  <r>
    <s v="TX501411"/>
    <x v="11"/>
    <x v="0"/>
    <n v="32.1"/>
    <n v="32.1"/>
    <d v="2025-02-22T00:00:00"/>
    <d v="2025-02-22T00:00:00"/>
    <s v="F"/>
    <x v="3"/>
    <x v="3"/>
    <x v="0"/>
    <x v="3"/>
    <x v="7"/>
    <x v="7"/>
    <x v="2"/>
  </r>
  <r>
    <s v="TX501412"/>
    <x v="2"/>
    <x v="12"/>
    <n v="104.8"/>
    <n v="419.2"/>
    <d v="2025-02-23T00:00:00"/>
    <d v="2025-02-25T00:00:00"/>
    <s v="O"/>
    <x v="0"/>
    <x v="0"/>
    <x v="0"/>
    <x v="3"/>
    <x v="1"/>
    <x v="8"/>
    <x v="3"/>
  </r>
  <r>
    <s v="TX501413"/>
    <x v="9"/>
    <x v="13"/>
    <n v="67.400000000000006"/>
    <n v="404.40000000000003"/>
    <d v="2025-02-23T00:00:00"/>
    <d v="2025-02-24T00:00:00"/>
    <s v="F"/>
    <x v="3"/>
    <x v="0"/>
    <x v="0"/>
    <x v="3"/>
    <x v="3"/>
    <x v="8"/>
    <x v="2"/>
  </r>
  <r>
    <s v="TX501414"/>
    <x v="6"/>
    <x v="1"/>
    <n v="115.2"/>
    <n v="230.4"/>
    <d v="2025-02-23T00:00:00"/>
    <d v="2025-02-24T00:00:00"/>
    <s v="F"/>
    <x v="1"/>
    <x v="0"/>
    <x v="0"/>
    <x v="4"/>
    <x v="3"/>
    <x v="8"/>
    <x v="2"/>
  </r>
  <r>
    <s v="TX501415"/>
    <x v="8"/>
    <x v="19"/>
    <n v="15.5"/>
    <n v="449.5"/>
    <d v="2025-02-23T00:00:00"/>
    <d v="2025-02-25T00:00:00"/>
    <s v="F"/>
    <x v="0"/>
    <x v="1"/>
    <x v="0"/>
    <x v="23"/>
    <x v="1"/>
    <x v="8"/>
    <x v="2"/>
  </r>
  <r>
    <s v="TX501416"/>
    <x v="6"/>
    <x v="5"/>
    <n v="66.400000000000006"/>
    <n v="730.40000000000009"/>
    <d v="2025-02-23T00:00:00"/>
    <d v="2025-02-25T00:00:00"/>
    <s v="F"/>
    <x v="0"/>
    <x v="0"/>
    <x v="0"/>
    <x v="6"/>
    <x v="1"/>
    <x v="8"/>
    <x v="2"/>
  </r>
  <r>
    <s v="TX501417"/>
    <x v="9"/>
    <x v="4"/>
    <n v="68.099999999999994"/>
    <n v="817.19999999999993"/>
    <d v="2025-02-23T00:00:00"/>
    <d v="2025-02-24T00:00:00"/>
    <s v="F"/>
    <x v="2"/>
    <x v="0"/>
    <x v="0"/>
    <x v="8"/>
    <x v="3"/>
    <x v="8"/>
    <x v="2"/>
  </r>
  <r>
    <s v="TX501418"/>
    <x v="8"/>
    <x v="9"/>
    <n v="32.5"/>
    <n v="162.5"/>
    <d v="2025-02-23T00:00:00"/>
    <d v="2025-02-27T00:00:00"/>
    <s v="M"/>
    <x v="2"/>
    <x v="1"/>
    <x v="0"/>
    <x v="8"/>
    <x v="5"/>
    <x v="8"/>
    <x v="1"/>
  </r>
  <r>
    <s v="TX501419"/>
    <x v="15"/>
    <x v="2"/>
    <n v="61.2"/>
    <n v="183.60000000000002"/>
    <d v="2025-02-23T00:00:00"/>
    <d v="2025-02-25T00:00:00"/>
    <s v="F"/>
    <x v="1"/>
    <x v="1"/>
    <x v="0"/>
    <x v="8"/>
    <x v="1"/>
    <x v="8"/>
    <x v="2"/>
  </r>
  <r>
    <s v="TX501420"/>
    <x v="9"/>
    <x v="1"/>
    <n v="54.2"/>
    <n v="108.4"/>
    <d v="2025-02-23T00:00:00"/>
    <d v="2025-02-24T00:00:00"/>
    <s v="F"/>
    <x v="1"/>
    <x v="0"/>
    <x v="0"/>
    <x v="8"/>
    <x v="3"/>
    <x v="8"/>
    <x v="2"/>
  </r>
  <r>
    <s v="TX501421"/>
    <x v="11"/>
    <x v="8"/>
    <n v="28.7"/>
    <n v="229.6"/>
    <d v="2025-02-23T00:00:00"/>
    <d v="2025-02-25T00:00:00"/>
    <s v="M"/>
    <x v="1"/>
    <x v="0"/>
    <x v="0"/>
    <x v="9"/>
    <x v="1"/>
    <x v="8"/>
    <x v="1"/>
  </r>
  <r>
    <s v="TX501422"/>
    <x v="12"/>
    <x v="13"/>
    <n v="38.200000000000003"/>
    <n v="229.20000000000002"/>
    <d v="2025-02-23T00:00:00"/>
    <d v="2025-02-27T00:00:00"/>
    <s v="F"/>
    <x v="0"/>
    <x v="1"/>
    <x v="0"/>
    <x v="9"/>
    <x v="5"/>
    <x v="8"/>
    <x v="2"/>
  </r>
  <r>
    <s v="TX501423"/>
    <x v="8"/>
    <x v="4"/>
    <n v="17.600000000000001"/>
    <n v="211.20000000000002"/>
    <d v="2025-02-23T00:00:00"/>
    <d v="2025-02-24T00:00:00"/>
    <s v="F"/>
    <x v="2"/>
    <x v="1"/>
    <x v="0"/>
    <x v="9"/>
    <x v="3"/>
    <x v="8"/>
    <x v="2"/>
  </r>
  <r>
    <s v="TX501424"/>
    <x v="10"/>
    <x v="2"/>
    <n v="74.599999999999994"/>
    <n v="223.79999999999998"/>
    <d v="2025-02-23T00:00:00"/>
    <d v="2025-02-23T00:00:00"/>
    <s v="F"/>
    <x v="2"/>
    <x v="0"/>
    <x v="0"/>
    <x v="11"/>
    <x v="7"/>
    <x v="8"/>
    <x v="2"/>
  </r>
  <r>
    <s v="TX501425"/>
    <x v="16"/>
    <x v="20"/>
    <n v="72.599999999999994"/>
    <n v="1089"/>
    <d v="2025-02-23T00:00:00"/>
    <d v="2025-02-23T00:00:00"/>
    <s v=""/>
    <x v="1"/>
    <x v="1"/>
    <x v="0"/>
    <x v="11"/>
    <x v="7"/>
    <x v="8"/>
    <x v="0"/>
  </r>
  <r>
    <s v="TX501426"/>
    <x v="7"/>
    <x v="0"/>
    <n v="62.3"/>
    <n v="62.3"/>
    <d v="2025-02-23T00:00:00"/>
    <d v="2025-02-24T00:00:00"/>
    <s v="F"/>
    <x v="1"/>
    <x v="0"/>
    <x v="0"/>
    <x v="11"/>
    <x v="3"/>
    <x v="8"/>
    <x v="2"/>
  </r>
  <r>
    <s v="TX501427"/>
    <x v="3"/>
    <x v="2"/>
    <n v="33.799999999999997"/>
    <n v="101.39999999999999"/>
    <d v="2025-02-23T00:00:00"/>
    <d v="2025-02-25T00:00:00"/>
    <s v="M"/>
    <x v="0"/>
    <x v="2"/>
    <x v="0"/>
    <x v="20"/>
    <x v="1"/>
    <x v="8"/>
    <x v="1"/>
  </r>
  <r>
    <s v="TX501428"/>
    <x v="9"/>
    <x v="0"/>
    <n v="85.7"/>
    <n v="85.7"/>
    <d v="2025-02-23T00:00:00"/>
    <d v="2025-02-26T00:00:00"/>
    <s v="M"/>
    <x v="3"/>
    <x v="1"/>
    <x v="0"/>
    <x v="21"/>
    <x v="2"/>
    <x v="8"/>
    <x v="1"/>
  </r>
  <r>
    <s v="TX501429"/>
    <x v="6"/>
    <x v="1"/>
    <n v="92.1"/>
    <n v="184.2"/>
    <d v="2025-02-23T00:00:00"/>
    <d v="2025-02-25T00:00:00"/>
    <s v="M"/>
    <x v="1"/>
    <x v="0"/>
    <x v="0"/>
    <x v="21"/>
    <x v="1"/>
    <x v="8"/>
    <x v="1"/>
  </r>
  <r>
    <s v="TX501430"/>
    <x v="16"/>
    <x v="2"/>
    <n v="65.099999999999994"/>
    <n v="195.29999999999998"/>
    <d v="2025-02-23T00:00:00"/>
    <d v="2025-02-26T00:00:00"/>
    <s v="M"/>
    <x v="0"/>
    <x v="0"/>
    <x v="0"/>
    <x v="1"/>
    <x v="2"/>
    <x v="8"/>
    <x v="1"/>
  </r>
  <r>
    <s v="TX501431"/>
    <x v="9"/>
    <x v="3"/>
    <n v="20.3"/>
    <n v="142.1"/>
    <d v="2025-02-23T00:00:00"/>
    <d v="2025-02-24T00:00:00"/>
    <s v="F"/>
    <x v="2"/>
    <x v="2"/>
    <x v="0"/>
    <x v="2"/>
    <x v="3"/>
    <x v="8"/>
    <x v="2"/>
  </r>
  <r>
    <s v="TX501432"/>
    <x v="19"/>
    <x v="1"/>
    <n v="29.8"/>
    <n v="59.6"/>
    <d v="2025-02-23T00:00:00"/>
    <d v="2025-02-25T00:00:00"/>
    <s v="F"/>
    <x v="1"/>
    <x v="2"/>
    <x v="0"/>
    <x v="34"/>
    <x v="1"/>
    <x v="8"/>
    <x v="2"/>
  </r>
  <r>
    <s v="TX501433"/>
    <x v="0"/>
    <x v="1"/>
    <n v="24.2"/>
    <n v="48.4"/>
    <d v="2025-02-23T00:00:00"/>
    <d v="2025-02-25T00:00:00"/>
    <s v="F"/>
    <x v="3"/>
    <x v="2"/>
    <x v="0"/>
    <x v="3"/>
    <x v="1"/>
    <x v="8"/>
    <x v="2"/>
  </r>
  <r>
    <s v="TX501434"/>
    <x v="3"/>
    <x v="0"/>
    <n v="57.3"/>
    <n v="57.3"/>
    <d v="2025-02-23T00:00:00"/>
    <d v="2025-02-25T00:00:00"/>
    <s v="M"/>
    <x v="0"/>
    <x v="0"/>
    <x v="0"/>
    <x v="3"/>
    <x v="1"/>
    <x v="8"/>
    <x v="1"/>
  </r>
  <r>
    <s v="TX501435"/>
    <x v="2"/>
    <x v="0"/>
    <n v="108.9"/>
    <n v="108.9"/>
    <d v="2025-02-23T00:00:00"/>
    <d v="2025-02-25T00:00:00"/>
    <s v="F"/>
    <x v="1"/>
    <x v="0"/>
    <x v="0"/>
    <x v="3"/>
    <x v="1"/>
    <x v="8"/>
    <x v="2"/>
  </r>
  <r>
    <s v="TX501436"/>
    <x v="7"/>
    <x v="9"/>
    <n v="50.7"/>
    <n v="253.5"/>
    <d v="2025-02-23T00:00:00"/>
    <d v="2025-02-24T00:00:00"/>
    <s v="F"/>
    <x v="0"/>
    <x v="0"/>
    <x v="0"/>
    <x v="3"/>
    <x v="3"/>
    <x v="8"/>
    <x v="2"/>
  </r>
  <r>
    <s v="TX501437"/>
    <x v="7"/>
    <x v="11"/>
    <n v="66.099999999999994"/>
    <n v="594.9"/>
    <d v="2025-02-23T00:00:00"/>
    <d v="2025-03-09T00:00:00"/>
    <s v="F"/>
    <x v="1"/>
    <x v="0"/>
    <x v="0"/>
    <x v="3"/>
    <x v="12"/>
    <x v="8"/>
    <x v="2"/>
  </r>
  <r>
    <s v="TX501438"/>
    <x v="12"/>
    <x v="9"/>
    <n v="36.700000000000003"/>
    <n v="183.5"/>
    <d v="2025-02-23T00:00:00"/>
    <d v="2025-02-27T00:00:00"/>
    <s v="F"/>
    <x v="4"/>
    <x v="0"/>
    <x v="0"/>
    <x v="3"/>
    <x v="5"/>
    <x v="8"/>
    <x v="2"/>
  </r>
  <r>
    <s v="TX501439"/>
    <x v="8"/>
    <x v="14"/>
    <n v="19.3"/>
    <n v="328.1"/>
    <d v="2025-02-23T00:00:00"/>
    <d v="2025-02-25T00:00:00"/>
    <s v="M"/>
    <x v="0"/>
    <x v="0"/>
    <x v="0"/>
    <x v="43"/>
    <x v="1"/>
    <x v="8"/>
    <x v="1"/>
  </r>
  <r>
    <s v="TX501440"/>
    <x v="8"/>
    <x v="12"/>
    <n v="20.7"/>
    <n v="82.8"/>
    <d v="2025-02-23T00:00:00"/>
    <d v="2025-02-24T00:00:00"/>
    <s v="M"/>
    <x v="1"/>
    <x v="2"/>
    <x v="0"/>
    <x v="6"/>
    <x v="3"/>
    <x v="8"/>
    <x v="1"/>
  </r>
  <r>
    <s v="TX501441"/>
    <x v="5"/>
    <x v="2"/>
    <n v="54.7"/>
    <n v="164.10000000000002"/>
    <d v="2025-02-23T00:00:00"/>
    <d v="2025-02-23T00:00:00"/>
    <s v="O"/>
    <x v="1"/>
    <x v="4"/>
    <x v="0"/>
    <x v="6"/>
    <x v="7"/>
    <x v="8"/>
    <x v="3"/>
  </r>
  <r>
    <s v="TX501442"/>
    <x v="4"/>
    <x v="1"/>
    <n v="19.8"/>
    <n v="39.6"/>
    <d v="2025-02-23T00:00:00"/>
    <d v="2025-02-27T00:00:00"/>
    <s v="F"/>
    <x v="4"/>
    <x v="1"/>
    <x v="0"/>
    <x v="8"/>
    <x v="5"/>
    <x v="8"/>
    <x v="2"/>
  </r>
  <r>
    <s v="TX501443"/>
    <x v="7"/>
    <x v="0"/>
    <n v="41.1"/>
    <n v="41.1"/>
    <d v="2025-02-23T00:00:00"/>
    <d v="2025-02-25T00:00:00"/>
    <s v="F"/>
    <x v="0"/>
    <x v="2"/>
    <x v="0"/>
    <x v="8"/>
    <x v="1"/>
    <x v="8"/>
    <x v="2"/>
  </r>
  <r>
    <s v="TX501444"/>
    <x v="11"/>
    <x v="8"/>
    <n v="43.5"/>
    <n v="348"/>
    <d v="2025-02-23T00:00:00"/>
    <d v="2025-02-27T00:00:00"/>
    <s v="F"/>
    <x v="3"/>
    <x v="0"/>
    <x v="0"/>
    <x v="8"/>
    <x v="5"/>
    <x v="8"/>
    <x v="2"/>
  </r>
  <r>
    <s v="TX501445"/>
    <x v="8"/>
    <x v="21"/>
    <n v="19"/>
    <n v="266"/>
    <d v="2025-02-23T00:00:00"/>
    <d v="2025-02-24T00:00:00"/>
    <s v="M"/>
    <x v="0"/>
    <x v="0"/>
    <x v="0"/>
    <x v="26"/>
    <x v="3"/>
    <x v="8"/>
    <x v="1"/>
  </r>
  <r>
    <s v="TX501446"/>
    <x v="2"/>
    <x v="12"/>
    <n v="51.4"/>
    <n v="205.6"/>
    <d v="2025-02-23T00:00:00"/>
    <d v="2025-02-23T00:00:00"/>
    <s v="F"/>
    <x v="0"/>
    <x v="0"/>
    <x v="0"/>
    <x v="26"/>
    <x v="7"/>
    <x v="8"/>
    <x v="2"/>
  </r>
  <r>
    <s v="TX501447"/>
    <x v="10"/>
    <x v="1"/>
    <n v="39.799999999999997"/>
    <n v="79.599999999999994"/>
    <d v="2025-02-23T00:00:00"/>
    <d v="2025-02-26T00:00:00"/>
    <s v="M"/>
    <x v="3"/>
    <x v="1"/>
    <x v="0"/>
    <x v="13"/>
    <x v="2"/>
    <x v="8"/>
    <x v="1"/>
  </r>
  <r>
    <s v="TX501448"/>
    <x v="6"/>
    <x v="9"/>
    <n v="61"/>
    <n v="305"/>
    <d v="2025-02-23T00:00:00"/>
    <d v="2025-02-24T00:00:00"/>
    <s v=""/>
    <x v="0"/>
    <x v="2"/>
    <x v="0"/>
    <x v="21"/>
    <x v="3"/>
    <x v="8"/>
    <x v="0"/>
  </r>
  <r>
    <s v="TX501449"/>
    <x v="8"/>
    <x v="5"/>
    <n v="15.1"/>
    <n v="166.1"/>
    <d v="2025-02-24T00:00:00"/>
    <d v="2025-03-01T00:00:00"/>
    <s v="M"/>
    <x v="3"/>
    <x v="2"/>
    <x v="0"/>
    <x v="2"/>
    <x v="0"/>
    <x v="8"/>
    <x v="1"/>
  </r>
  <r>
    <s v="TX501450"/>
    <x v="1"/>
    <x v="3"/>
    <n v="71.3"/>
    <n v="499.09999999999997"/>
    <d v="2025-02-24T00:00:00"/>
    <d v="2025-02-25T00:00:00"/>
    <s v="M"/>
    <x v="4"/>
    <x v="0"/>
    <x v="0"/>
    <x v="3"/>
    <x v="3"/>
    <x v="8"/>
    <x v="1"/>
  </r>
  <r>
    <s v="TX501451"/>
    <x v="10"/>
    <x v="0"/>
    <n v="25.8"/>
    <n v="25.8"/>
    <d v="2025-02-24T00:00:00"/>
    <d v="2025-02-26T00:00:00"/>
    <s v="F"/>
    <x v="0"/>
    <x v="2"/>
    <x v="0"/>
    <x v="3"/>
    <x v="1"/>
    <x v="8"/>
    <x v="2"/>
  </r>
  <r>
    <s v="TX501452"/>
    <x v="8"/>
    <x v="9"/>
    <n v="39.6"/>
    <n v="198"/>
    <d v="2025-02-24T00:00:00"/>
    <d v="2025-02-26T00:00:00"/>
    <s v="M"/>
    <x v="1"/>
    <x v="2"/>
    <x v="0"/>
    <x v="3"/>
    <x v="1"/>
    <x v="8"/>
    <x v="1"/>
  </r>
  <r>
    <s v="TX501453"/>
    <x v="5"/>
    <x v="1"/>
    <n v="64"/>
    <n v="128"/>
    <d v="2025-02-24T00:00:00"/>
    <d v="2025-02-24T00:00:00"/>
    <s v="M"/>
    <x v="1"/>
    <x v="1"/>
    <x v="0"/>
    <x v="3"/>
    <x v="7"/>
    <x v="8"/>
    <x v="1"/>
  </r>
  <r>
    <s v="TX501454"/>
    <x v="8"/>
    <x v="1"/>
    <n v="30.6"/>
    <n v="61.2"/>
    <d v="2025-02-24T00:00:00"/>
    <d v="2025-02-27T00:00:00"/>
    <s v="M"/>
    <x v="0"/>
    <x v="2"/>
    <x v="0"/>
    <x v="3"/>
    <x v="2"/>
    <x v="8"/>
    <x v="1"/>
  </r>
  <r>
    <s v="TX501455"/>
    <x v="8"/>
    <x v="1"/>
    <n v="21.3"/>
    <n v="42.6"/>
    <d v="2025-02-24T00:00:00"/>
    <d v="2025-02-25T00:00:00"/>
    <s v="M"/>
    <x v="0"/>
    <x v="1"/>
    <x v="0"/>
    <x v="3"/>
    <x v="3"/>
    <x v="8"/>
    <x v="1"/>
  </r>
  <r>
    <s v="TX501456"/>
    <x v="7"/>
    <x v="0"/>
    <n v="40.799999999999997"/>
    <n v="40.799999999999997"/>
    <d v="2025-02-24T00:00:00"/>
    <d v="2025-02-26T00:00:00"/>
    <s v="F"/>
    <x v="4"/>
    <x v="0"/>
    <x v="0"/>
    <x v="3"/>
    <x v="1"/>
    <x v="8"/>
    <x v="2"/>
  </r>
  <r>
    <s v="TX501457"/>
    <x v="9"/>
    <x v="12"/>
    <n v="27.7"/>
    <n v="110.8"/>
    <d v="2025-02-24T00:00:00"/>
    <d v="2025-02-25T00:00:00"/>
    <s v="F"/>
    <x v="0"/>
    <x v="1"/>
    <x v="0"/>
    <x v="3"/>
    <x v="3"/>
    <x v="8"/>
    <x v="2"/>
  </r>
  <r>
    <s v="TX501458"/>
    <x v="6"/>
    <x v="1"/>
    <n v="64.599999999999994"/>
    <n v="129.19999999999999"/>
    <d v="2025-02-24T00:00:00"/>
    <d v="2025-02-25T00:00:00"/>
    <s v="M"/>
    <x v="0"/>
    <x v="1"/>
    <x v="0"/>
    <x v="3"/>
    <x v="3"/>
    <x v="8"/>
    <x v="1"/>
  </r>
  <r>
    <s v="TX501459"/>
    <x v="6"/>
    <x v="27"/>
    <n v="91.1"/>
    <n v="1457.6"/>
    <d v="2025-02-24T00:00:00"/>
    <d v="2025-02-25T00:00:00"/>
    <s v="F"/>
    <x v="1"/>
    <x v="2"/>
    <x v="0"/>
    <x v="3"/>
    <x v="3"/>
    <x v="8"/>
    <x v="2"/>
  </r>
  <r>
    <s v="TX501460"/>
    <x v="1"/>
    <x v="0"/>
    <n v="39.5"/>
    <n v="39.5"/>
    <d v="2025-02-24T00:00:00"/>
    <d v="2025-03-04T00:00:00"/>
    <s v="F"/>
    <x v="0"/>
    <x v="0"/>
    <x v="0"/>
    <x v="3"/>
    <x v="9"/>
    <x v="8"/>
    <x v="2"/>
  </r>
  <r>
    <s v="TX501461"/>
    <x v="9"/>
    <x v="1"/>
    <n v="21.8"/>
    <n v="43.6"/>
    <d v="2025-02-24T00:00:00"/>
    <d v="2025-02-28T00:00:00"/>
    <s v="M"/>
    <x v="4"/>
    <x v="2"/>
    <x v="0"/>
    <x v="3"/>
    <x v="5"/>
    <x v="8"/>
    <x v="1"/>
  </r>
  <r>
    <s v="TX501462"/>
    <x v="8"/>
    <x v="1"/>
    <n v="51"/>
    <n v="102"/>
    <d v="2025-02-24T00:00:00"/>
    <d v="2025-02-27T00:00:00"/>
    <s v="M"/>
    <x v="3"/>
    <x v="2"/>
    <x v="0"/>
    <x v="3"/>
    <x v="2"/>
    <x v="8"/>
    <x v="1"/>
  </r>
  <r>
    <s v="TX501463"/>
    <x v="2"/>
    <x v="0"/>
    <n v="92.6"/>
    <n v="92.6"/>
    <d v="2025-02-24T00:00:00"/>
    <d v="2025-02-27T00:00:00"/>
    <s v="F"/>
    <x v="0"/>
    <x v="2"/>
    <x v="0"/>
    <x v="35"/>
    <x v="2"/>
    <x v="8"/>
    <x v="2"/>
  </r>
  <r>
    <s v="TX501464"/>
    <x v="9"/>
    <x v="1"/>
    <n v="31.1"/>
    <n v="62.2"/>
    <d v="2025-02-24T00:00:00"/>
    <d v="2025-03-01T00:00:00"/>
    <s v=""/>
    <x v="1"/>
    <x v="3"/>
    <x v="0"/>
    <x v="23"/>
    <x v="0"/>
    <x v="8"/>
    <x v="0"/>
  </r>
  <r>
    <s v="TX501465"/>
    <x v="5"/>
    <x v="2"/>
    <n v="56.4"/>
    <n v="169.2"/>
    <d v="2025-02-24T00:00:00"/>
    <d v="2025-02-25T00:00:00"/>
    <s v=""/>
    <x v="1"/>
    <x v="0"/>
    <x v="0"/>
    <x v="6"/>
    <x v="3"/>
    <x v="8"/>
    <x v="0"/>
  </r>
  <r>
    <s v="TX501466"/>
    <x v="9"/>
    <x v="0"/>
    <n v="41.9"/>
    <n v="41.9"/>
    <d v="2025-02-24T00:00:00"/>
    <d v="2025-02-24T00:00:00"/>
    <s v="M"/>
    <x v="1"/>
    <x v="0"/>
    <x v="0"/>
    <x v="6"/>
    <x v="7"/>
    <x v="8"/>
    <x v="1"/>
  </r>
  <r>
    <s v="TX501467"/>
    <x v="10"/>
    <x v="3"/>
    <n v="45.9"/>
    <n v="321.3"/>
    <d v="2025-02-24T00:00:00"/>
    <d v="2025-02-25T00:00:00"/>
    <s v="M"/>
    <x v="3"/>
    <x v="2"/>
    <x v="0"/>
    <x v="8"/>
    <x v="3"/>
    <x v="8"/>
    <x v="1"/>
  </r>
  <r>
    <s v="TX501468"/>
    <x v="14"/>
    <x v="11"/>
    <n v="24.4"/>
    <n v="219.6"/>
    <d v="2025-02-24T00:00:00"/>
    <d v="2025-02-28T00:00:00"/>
    <s v="M"/>
    <x v="3"/>
    <x v="2"/>
    <x v="0"/>
    <x v="8"/>
    <x v="5"/>
    <x v="8"/>
    <x v="1"/>
  </r>
  <r>
    <s v="TX501469"/>
    <x v="8"/>
    <x v="0"/>
    <n v="18.2"/>
    <n v="18.2"/>
    <d v="2025-02-24T00:00:00"/>
    <d v="2025-02-25T00:00:00"/>
    <s v="F"/>
    <x v="2"/>
    <x v="2"/>
    <x v="0"/>
    <x v="8"/>
    <x v="3"/>
    <x v="8"/>
    <x v="2"/>
  </r>
  <r>
    <s v="TX501470"/>
    <x v="8"/>
    <x v="12"/>
    <n v="51.2"/>
    <n v="204.8"/>
    <d v="2025-02-24T00:00:00"/>
    <d v="2025-02-25T00:00:00"/>
    <s v="F"/>
    <x v="0"/>
    <x v="0"/>
    <x v="0"/>
    <x v="8"/>
    <x v="3"/>
    <x v="8"/>
    <x v="2"/>
  </r>
  <r>
    <s v="TX501471"/>
    <x v="6"/>
    <x v="0"/>
    <n v="59.7"/>
    <n v="59.7"/>
    <d v="2025-02-24T00:00:00"/>
    <d v="2025-02-27T00:00:00"/>
    <s v="M"/>
    <x v="0"/>
    <x v="2"/>
    <x v="0"/>
    <x v="8"/>
    <x v="2"/>
    <x v="8"/>
    <x v="1"/>
  </r>
  <r>
    <s v="TX501472"/>
    <x v="4"/>
    <x v="1"/>
    <n v="33.6"/>
    <n v="67.2"/>
    <d v="2025-02-24T00:00:00"/>
    <d v="2025-02-26T00:00:00"/>
    <s v="F"/>
    <x v="0"/>
    <x v="0"/>
    <x v="0"/>
    <x v="17"/>
    <x v="1"/>
    <x v="8"/>
    <x v="2"/>
  </r>
  <r>
    <s v="TX501473"/>
    <x v="12"/>
    <x v="0"/>
    <n v="90.4"/>
    <n v="90.4"/>
    <d v="2025-02-24T00:00:00"/>
    <d v="2025-02-28T00:00:00"/>
    <s v="M"/>
    <x v="1"/>
    <x v="2"/>
    <x v="0"/>
    <x v="10"/>
    <x v="5"/>
    <x v="8"/>
    <x v="1"/>
  </r>
  <r>
    <s v="TX501474"/>
    <x v="11"/>
    <x v="2"/>
    <n v="70.3"/>
    <n v="210.89999999999998"/>
    <d v="2025-02-24T00:00:00"/>
    <d v="2025-02-24T00:00:00"/>
    <s v="M"/>
    <x v="1"/>
    <x v="2"/>
    <x v="0"/>
    <x v="11"/>
    <x v="7"/>
    <x v="8"/>
    <x v="1"/>
  </r>
  <r>
    <s v="TX501475"/>
    <x v="4"/>
    <x v="1"/>
    <n v="20.5"/>
    <n v="41"/>
    <d v="2025-02-24T00:00:00"/>
    <d v="2025-02-27T00:00:00"/>
    <s v="F"/>
    <x v="0"/>
    <x v="1"/>
    <x v="0"/>
    <x v="11"/>
    <x v="2"/>
    <x v="8"/>
    <x v="2"/>
  </r>
  <r>
    <s v="TX501476"/>
    <x v="5"/>
    <x v="5"/>
    <n v="37.6"/>
    <n v="413.6"/>
    <d v="2025-02-24T00:00:00"/>
    <d v="2025-02-25T00:00:00"/>
    <s v="M"/>
    <x v="0"/>
    <x v="0"/>
    <x v="0"/>
    <x v="38"/>
    <x v="3"/>
    <x v="8"/>
    <x v="1"/>
  </r>
  <r>
    <s v="TX501477"/>
    <x v="5"/>
    <x v="12"/>
    <n v="61.5"/>
    <n v="246"/>
    <d v="2025-02-24T00:00:00"/>
    <d v="2025-03-03T00:00:00"/>
    <s v="F"/>
    <x v="1"/>
    <x v="4"/>
    <x v="0"/>
    <x v="13"/>
    <x v="6"/>
    <x v="8"/>
    <x v="2"/>
  </r>
  <r>
    <s v="TX501478"/>
    <x v="9"/>
    <x v="0"/>
    <n v="33.5"/>
    <n v="33.5"/>
    <d v="2025-02-25T00:00:00"/>
    <d v="2025-03-01T00:00:00"/>
    <s v="M"/>
    <x v="4"/>
    <x v="1"/>
    <x v="0"/>
    <x v="21"/>
    <x v="5"/>
    <x v="8"/>
    <x v="1"/>
  </r>
  <r>
    <s v="TX501479"/>
    <x v="4"/>
    <x v="2"/>
    <n v="29.3"/>
    <n v="87.9"/>
    <d v="2025-02-25T00:00:00"/>
    <d v="2025-02-27T00:00:00"/>
    <s v="F"/>
    <x v="1"/>
    <x v="2"/>
    <x v="0"/>
    <x v="1"/>
    <x v="1"/>
    <x v="8"/>
    <x v="2"/>
  </r>
  <r>
    <s v="TX501480"/>
    <x v="2"/>
    <x v="1"/>
    <n v="125.9"/>
    <n v="251.8"/>
    <d v="2025-02-25T00:00:00"/>
    <d v="2025-03-02T00:00:00"/>
    <s v="F"/>
    <x v="4"/>
    <x v="1"/>
    <x v="0"/>
    <x v="1"/>
    <x v="0"/>
    <x v="8"/>
    <x v="2"/>
  </r>
  <r>
    <s v="TX501481"/>
    <x v="5"/>
    <x v="9"/>
    <n v="29.3"/>
    <n v="146.5"/>
    <d v="2025-02-25T00:00:00"/>
    <d v="2025-02-25T00:00:00"/>
    <s v="M"/>
    <x v="2"/>
    <x v="0"/>
    <x v="0"/>
    <x v="44"/>
    <x v="7"/>
    <x v="8"/>
    <x v="1"/>
  </r>
  <r>
    <s v="TX501482"/>
    <x v="9"/>
    <x v="0"/>
    <n v="37.799999999999997"/>
    <n v="37.799999999999997"/>
    <d v="2025-02-25T00:00:00"/>
    <d v="2025-02-28T00:00:00"/>
    <s v="F"/>
    <x v="0"/>
    <x v="2"/>
    <x v="0"/>
    <x v="3"/>
    <x v="2"/>
    <x v="8"/>
    <x v="2"/>
  </r>
  <r>
    <s v="TX501483"/>
    <x v="0"/>
    <x v="12"/>
    <n v="31.7"/>
    <n v="126.8"/>
    <d v="2025-02-25T00:00:00"/>
    <d v="2025-02-26T00:00:00"/>
    <s v="M"/>
    <x v="2"/>
    <x v="2"/>
    <x v="0"/>
    <x v="3"/>
    <x v="3"/>
    <x v="8"/>
    <x v="1"/>
  </r>
  <r>
    <s v="TX501484"/>
    <x v="8"/>
    <x v="9"/>
    <n v="26.3"/>
    <n v="131.5"/>
    <d v="2025-02-25T00:00:00"/>
    <d v="2025-02-26T00:00:00"/>
    <s v="F"/>
    <x v="3"/>
    <x v="2"/>
    <x v="0"/>
    <x v="3"/>
    <x v="3"/>
    <x v="8"/>
    <x v="2"/>
  </r>
  <r>
    <s v="TX501485"/>
    <x v="8"/>
    <x v="2"/>
    <n v="23.1"/>
    <n v="69.300000000000011"/>
    <d v="2025-02-25T00:00:00"/>
    <d v="2025-02-26T00:00:00"/>
    <s v="O"/>
    <x v="2"/>
    <x v="1"/>
    <x v="0"/>
    <x v="3"/>
    <x v="3"/>
    <x v="8"/>
    <x v="3"/>
  </r>
  <r>
    <s v="TX501486"/>
    <x v="4"/>
    <x v="0"/>
    <n v="22.3"/>
    <n v="22.3"/>
    <d v="2025-02-25T00:00:00"/>
    <d v="2025-02-27T00:00:00"/>
    <s v="F"/>
    <x v="2"/>
    <x v="0"/>
    <x v="0"/>
    <x v="3"/>
    <x v="1"/>
    <x v="8"/>
    <x v="2"/>
  </r>
  <r>
    <s v="TX501487"/>
    <x v="12"/>
    <x v="1"/>
    <n v="99.5"/>
    <n v="199"/>
    <d v="2025-02-25T00:00:00"/>
    <d v="2025-02-27T00:00:00"/>
    <s v="F"/>
    <x v="2"/>
    <x v="0"/>
    <x v="0"/>
    <x v="3"/>
    <x v="1"/>
    <x v="8"/>
    <x v="2"/>
  </r>
  <r>
    <s v="TX501488"/>
    <x v="12"/>
    <x v="12"/>
    <n v="47.4"/>
    <n v="189.6"/>
    <d v="2025-02-25T00:00:00"/>
    <d v="2025-02-28T00:00:00"/>
    <s v="F"/>
    <x v="1"/>
    <x v="0"/>
    <x v="0"/>
    <x v="3"/>
    <x v="2"/>
    <x v="8"/>
    <x v="2"/>
  </r>
  <r>
    <s v="TX501489"/>
    <x v="0"/>
    <x v="5"/>
    <n v="37.5"/>
    <n v="412.5"/>
    <d v="2025-02-25T00:00:00"/>
    <d v="2025-02-27T00:00:00"/>
    <s v="F"/>
    <x v="0"/>
    <x v="3"/>
    <x v="0"/>
    <x v="3"/>
    <x v="1"/>
    <x v="8"/>
    <x v="2"/>
  </r>
  <r>
    <s v="TX501490"/>
    <x v="10"/>
    <x v="0"/>
    <n v="45.1"/>
    <n v="45.1"/>
    <d v="2025-02-25T00:00:00"/>
    <d v="2025-03-02T00:00:00"/>
    <s v="M"/>
    <x v="3"/>
    <x v="2"/>
    <x v="0"/>
    <x v="24"/>
    <x v="0"/>
    <x v="8"/>
    <x v="1"/>
  </r>
  <r>
    <s v="TX501491"/>
    <x v="5"/>
    <x v="7"/>
    <n v="34.4"/>
    <n v="344"/>
    <d v="2025-02-25T00:00:00"/>
    <d v="2025-02-28T00:00:00"/>
    <s v="M"/>
    <x v="2"/>
    <x v="0"/>
    <x v="0"/>
    <x v="16"/>
    <x v="2"/>
    <x v="8"/>
    <x v="1"/>
  </r>
  <r>
    <s v="TX501492"/>
    <x v="4"/>
    <x v="1"/>
    <n v="38"/>
    <n v="76"/>
    <d v="2025-02-25T00:00:00"/>
    <d v="2025-02-27T00:00:00"/>
    <s v="F"/>
    <x v="1"/>
    <x v="0"/>
    <x v="0"/>
    <x v="5"/>
    <x v="1"/>
    <x v="8"/>
    <x v="2"/>
  </r>
  <r>
    <s v="TX501493"/>
    <x v="3"/>
    <x v="21"/>
    <n v="32.4"/>
    <n v="453.59999999999997"/>
    <d v="2025-02-25T00:00:00"/>
    <d v="2025-02-28T00:00:00"/>
    <s v="M"/>
    <x v="4"/>
    <x v="0"/>
    <x v="0"/>
    <x v="6"/>
    <x v="2"/>
    <x v="8"/>
    <x v="1"/>
  </r>
  <r>
    <s v="TX501494"/>
    <x v="6"/>
    <x v="2"/>
    <n v="40.9"/>
    <n v="122.69999999999999"/>
    <d v="2025-02-25T00:00:00"/>
    <d v="2025-02-25T00:00:00"/>
    <s v=""/>
    <x v="1"/>
    <x v="0"/>
    <x v="0"/>
    <x v="8"/>
    <x v="7"/>
    <x v="8"/>
    <x v="0"/>
  </r>
  <r>
    <s v="TX501495"/>
    <x v="7"/>
    <x v="3"/>
    <n v="76.2"/>
    <n v="533.4"/>
    <d v="2025-02-25T00:00:00"/>
    <d v="2025-02-27T00:00:00"/>
    <s v="F"/>
    <x v="2"/>
    <x v="1"/>
    <x v="0"/>
    <x v="8"/>
    <x v="1"/>
    <x v="8"/>
    <x v="2"/>
  </r>
  <r>
    <s v="TX501496"/>
    <x v="2"/>
    <x v="0"/>
    <n v="85.6"/>
    <n v="85.6"/>
    <d v="2025-02-25T00:00:00"/>
    <d v="2025-02-27T00:00:00"/>
    <s v="M"/>
    <x v="2"/>
    <x v="0"/>
    <x v="0"/>
    <x v="8"/>
    <x v="1"/>
    <x v="8"/>
    <x v="1"/>
  </r>
  <r>
    <s v="TX501497"/>
    <x v="4"/>
    <x v="12"/>
    <n v="25"/>
    <n v="100"/>
    <d v="2025-02-25T00:00:00"/>
    <d v="2025-02-27T00:00:00"/>
    <s v="F"/>
    <x v="2"/>
    <x v="2"/>
    <x v="0"/>
    <x v="8"/>
    <x v="1"/>
    <x v="8"/>
    <x v="2"/>
  </r>
  <r>
    <s v="TX501498"/>
    <x v="2"/>
    <x v="9"/>
    <n v="150.69999999999999"/>
    <n v="753.5"/>
    <d v="2025-02-25T00:00:00"/>
    <d v="2025-02-26T00:00:00"/>
    <s v=""/>
    <x v="0"/>
    <x v="2"/>
    <x v="0"/>
    <x v="8"/>
    <x v="3"/>
    <x v="8"/>
    <x v="0"/>
  </r>
  <r>
    <s v="TX501499"/>
    <x v="8"/>
    <x v="0"/>
    <n v="19.600000000000001"/>
    <n v="19.600000000000001"/>
    <d v="2025-02-25T00:00:00"/>
    <d v="2025-02-26T00:00:00"/>
    <s v="M"/>
    <x v="1"/>
    <x v="4"/>
    <x v="0"/>
    <x v="8"/>
    <x v="3"/>
    <x v="8"/>
    <x v="1"/>
  </r>
  <r>
    <s v="TX501500"/>
    <x v="13"/>
    <x v="1"/>
    <n v="37.5"/>
    <n v="75"/>
    <d v="2025-02-25T00:00:00"/>
    <d v="2025-02-28T00:00:00"/>
    <s v="F"/>
    <x v="1"/>
    <x v="2"/>
    <x v="0"/>
    <x v="17"/>
    <x v="2"/>
    <x v="8"/>
    <x v="2"/>
  </r>
  <r>
    <s v="TX501501"/>
    <x v="9"/>
    <x v="2"/>
    <n v="51.9"/>
    <n v="155.69999999999999"/>
    <d v="2025-02-25T00:00:00"/>
    <d v="2025-03-03T00:00:00"/>
    <s v="F"/>
    <x v="0"/>
    <x v="4"/>
    <x v="0"/>
    <x v="11"/>
    <x v="4"/>
    <x v="8"/>
    <x v="2"/>
  </r>
  <r>
    <s v="TX501502"/>
    <x v="1"/>
    <x v="1"/>
    <n v="30.9"/>
    <n v="61.8"/>
    <d v="2025-02-25T00:00:00"/>
    <d v="2025-02-27T00:00:00"/>
    <s v="F"/>
    <x v="1"/>
    <x v="0"/>
    <x v="0"/>
    <x v="18"/>
    <x v="1"/>
    <x v="8"/>
    <x v="2"/>
  </r>
  <r>
    <s v="TX501503"/>
    <x v="4"/>
    <x v="2"/>
    <n v="21.2"/>
    <n v="63.599999999999994"/>
    <d v="2025-02-25T00:00:00"/>
    <d v="2025-02-28T00:00:00"/>
    <s v="F"/>
    <x v="1"/>
    <x v="0"/>
    <x v="0"/>
    <x v="19"/>
    <x v="2"/>
    <x v="8"/>
    <x v="2"/>
  </r>
  <r>
    <s v="TX501504"/>
    <x v="13"/>
    <x v="14"/>
    <n v="17.5"/>
    <n v="297.5"/>
    <d v="2025-02-25T00:00:00"/>
    <d v="2025-02-26T00:00:00"/>
    <s v="M"/>
    <x v="1"/>
    <x v="1"/>
    <x v="0"/>
    <x v="13"/>
    <x v="3"/>
    <x v="8"/>
    <x v="1"/>
  </r>
  <r>
    <s v="TX501505"/>
    <x v="12"/>
    <x v="1"/>
    <n v="53.8"/>
    <n v="107.6"/>
    <d v="2025-02-25T00:00:00"/>
    <d v="2025-03-02T00:00:00"/>
    <s v="F"/>
    <x v="0"/>
    <x v="2"/>
    <x v="0"/>
    <x v="21"/>
    <x v="0"/>
    <x v="8"/>
    <x v="2"/>
  </r>
  <r>
    <s v="TX501506"/>
    <x v="19"/>
    <x v="1"/>
    <n v="17"/>
    <n v="34"/>
    <d v="2025-02-25T00:00:00"/>
    <d v="2025-02-26T00:00:00"/>
    <s v="M"/>
    <x v="3"/>
    <x v="0"/>
    <x v="0"/>
    <x v="21"/>
    <x v="3"/>
    <x v="8"/>
    <x v="1"/>
  </r>
  <r>
    <s v="TX501507"/>
    <x v="6"/>
    <x v="0"/>
    <n v="103.2"/>
    <n v="103.2"/>
    <d v="2025-02-25T00:00:00"/>
    <d v="2025-03-05T00:00:00"/>
    <s v="M"/>
    <x v="2"/>
    <x v="1"/>
    <x v="0"/>
    <x v="1"/>
    <x v="9"/>
    <x v="8"/>
    <x v="1"/>
  </r>
  <r>
    <s v="TX501508"/>
    <x v="6"/>
    <x v="12"/>
    <n v="70.3"/>
    <n v="281.2"/>
    <d v="2025-02-25T00:00:00"/>
    <d v="2025-02-26T00:00:00"/>
    <s v="M"/>
    <x v="0"/>
    <x v="0"/>
    <x v="0"/>
    <x v="3"/>
    <x v="3"/>
    <x v="8"/>
    <x v="1"/>
  </r>
  <r>
    <s v="TX501509"/>
    <x v="2"/>
    <x v="1"/>
    <n v="73.8"/>
    <n v="147.6"/>
    <d v="2025-02-25T00:00:00"/>
    <d v="2025-02-25T00:00:00"/>
    <s v="M"/>
    <x v="3"/>
    <x v="2"/>
    <x v="0"/>
    <x v="3"/>
    <x v="7"/>
    <x v="8"/>
    <x v="1"/>
  </r>
  <r>
    <s v="TX501510"/>
    <x v="1"/>
    <x v="4"/>
    <n v="67.7"/>
    <n v="812.40000000000009"/>
    <d v="2025-02-25T00:00:00"/>
    <d v="2025-03-01T00:00:00"/>
    <s v="M"/>
    <x v="1"/>
    <x v="1"/>
    <x v="0"/>
    <x v="3"/>
    <x v="5"/>
    <x v="8"/>
    <x v="1"/>
  </r>
  <r>
    <s v="TX501511"/>
    <x v="13"/>
    <x v="3"/>
    <n v="43.8"/>
    <n v="306.59999999999997"/>
    <d v="2025-02-25T00:00:00"/>
    <d v="2025-02-27T00:00:00"/>
    <s v="M"/>
    <x v="1"/>
    <x v="0"/>
    <x v="0"/>
    <x v="3"/>
    <x v="1"/>
    <x v="8"/>
    <x v="1"/>
  </r>
  <r>
    <s v="TX501512"/>
    <x v="17"/>
    <x v="13"/>
    <n v="71.900000000000006"/>
    <n v="431.40000000000003"/>
    <d v="2025-02-25T00:00:00"/>
    <d v="2025-02-26T00:00:00"/>
    <s v="F"/>
    <x v="2"/>
    <x v="0"/>
    <x v="0"/>
    <x v="3"/>
    <x v="3"/>
    <x v="8"/>
    <x v="2"/>
  </r>
  <r>
    <s v="TX501513"/>
    <x v="8"/>
    <x v="1"/>
    <n v="26.3"/>
    <n v="52.6"/>
    <d v="2025-02-26T00:00:00"/>
    <d v="2025-02-28T00:00:00"/>
    <s v="F"/>
    <x v="0"/>
    <x v="1"/>
    <x v="0"/>
    <x v="3"/>
    <x v="1"/>
    <x v="8"/>
    <x v="2"/>
  </r>
  <r>
    <s v="TX501514"/>
    <x v="6"/>
    <x v="12"/>
    <n v="52.6"/>
    <n v="210.4"/>
    <d v="2025-02-26T00:00:00"/>
    <d v="2025-02-28T00:00:00"/>
    <s v="F"/>
    <x v="2"/>
    <x v="1"/>
    <x v="0"/>
    <x v="3"/>
    <x v="1"/>
    <x v="8"/>
    <x v="2"/>
  </r>
  <r>
    <s v="TX501515"/>
    <x v="10"/>
    <x v="0"/>
    <n v="32.700000000000003"/>
    <n v="32.700000000000003"/>
    <d v="2025-02-26T00:00:00"/>
    <d v="2025-03-05T00:00:00"/>
    <s v="F"/>
    <x v="0"/>
    <x v="2"/>
    <x v="0"/>
    <x v="3"/>
    <x v="6"/>
    <x v="8"/>
    <x v="2"/>
  </r>
  <r>
    <s v="TX501516"/>
    <x v="5"/>
    <x v="12"/>
    <n v="38.9"/>
    <n v="155.6"/>
    <d v="2025-02-26T00:00:00"/>
    <d v="2025-02-27T00:00:00"/>
    <s v="F"/>
    <x v="0"/>
    <x v="0"/>
    <x v="0"/>
    <x v="3"/>
    <x v="3"/>
    <x v="8"/>
    <x v="2"/>
  </r>
  <r>
    <s v="TX501517"/>
    <x v="9"/>
    <x v="9"/>
    <n v="35"/>
    <n v="175"/>
    <d v="2025-02-26T00:00:00"/>
    <d v="2025-02-28T00:00:00"/>
    <s v="M"/>
    <x v="0"/>
    <x v="0"/>
    <x v="0"/>
    <x v="3"/>
    <x v="1"/>
    <x v="8"/>
    <x v="1"/>
  </r>
  <r>
    <s v="TX501518"/>
    <x v="2"/>
    <x v="1"/>
    <n v="121"/>
    <n v="242"/>
    <d v="2025-02-26T00:00:00"/>
    <d v="2025-02-27T00:00:00"/>
    <s v="F"/>
    <x v="1"/>
    <x v="1"/>
    <x v="0"/>
    <x v="3"/>
    <x v="3"/>
    <x v="8"/>
    <x v="2"/>
  </r>
  <r>
    <s v="TX501519"/>
    <x v="6"/>
    <x v="2"/>
    <n v="65.099999999999994"/>
    <n v="195.29999999999998"/>
    <d v="2025-02-26T00:00:00"/>
    <d v="2025-03-02T00:00:00"/>
    <s v="M"/>
    <x v="2"/>
    <x v="0"/>
    <x v="0"/>
    <x v="36"/>
    <x v="5"/>
    <x v="8"/>
    <x v="1"/>
  </r>
  <r>
    <s v="TX501520"/>
    <x v="1"/>
    <x v="38"/>
    <n v="63.8"/>
    <n v="1339.8"/>
    <d v="2025-02-26T00:00:00"/>
    <d v="2025-02-28T00:00:00"/>
    <s v="F"/>
    <x v="0"/>
    <x v="0"/>
    <x v="0"/>
    <x v="8"/>
    <x v="1"/>
    <x v="8"/>
    <x v="2"/>
  </r>
  <r>
    <s v="TX501521"/>
    <x v="7"/>
    <x v="0"/>
    <n v="77.7"/>
    <n v="77.7"/>
    <d v="2025-02-26T00:00:00"/>
    <d v="2025-02-28T00:00:00"/>
    <s v="M"/>
    <x v="0"/>
    <x v="0"/>
    <x v="0"/>
    <x v="8"/>
    <x v="1"/>
    <x v="8"/>
    <x v="1"/>
  </r>
  <r>
    <s v="TX501522"/>
    <x v="5"/>
    <x v="12"/>
    <n v="60.3"/>
    <n v="241.2"/>
    <d v="2025-02-26T00:00:00"/>
    <d v="2025-02-26T00:00:00"/>
    <s v="M"/>
    <x v="0"/>
    <x v="2"/>
    <x v="0"/>
    <x v="8"/>
    <x v="7"/>
    <x v="8"/>
    <x v="1"/>
  </r>
  <r>
    <s v="TX501523"/>
    <x v="5"/>
    <x v="1"/>
    <n v="124.1"/>
    <n v="248.2"/>
    <d v="2025-02-26T00:00:00"/>
    <d v="2025-03-01T00:00:00"/>
    <s v="F"/>
    <x v="0"/>
    <x v="2"/>
    <x v="0"/>
    <x v="8"/>
    <x v="2"/>
    <x v="8"/>
    <x v="2"/>
  </r>
  <r>
    <s v="TX501524"/>
    <x v="16"/>
    <x v="3"/>
    <n v="66"/>
    <n v="462"/>
    <d v="2025-02-26T00:00:00"/>
    <d v="2025-02-26T00:00:00"/>
    <s v=""/>
    <x v="3"/>
    <x v="0"/>
    <x v="0"/>
    <x v="17"/>
    <x v="7"/>
    <x v="8"/>
    <x v="0"/>
  </r>
  <r>
    <s v="TX501525"/>
    <x v="2"/>
    <x v="42"/>
    <n v="118.2"/>
    <n v="7446.6"/>
    <d v="2025-02-26T00:00:00"/>
    <d v="2025-03-03T00:00:00"/>
    <s v=""/>
    <x v="0"/>
    <x v="0"/>
    <x v="0"/>
    <x v="17"/>
    <x v="0"/>
    <x v="8"/>
    <x v="0"/>
  </r>
  <r>
    <s v="TX501526"/>
    <x v="5"/>
    <x v="9"/>
    <n v="64.3"/>
    <n v="321.5"/>
    <d v="2025-02-26T00:00:00"/>
    <d v="2025-02-27T00:00:00"/>
    <s v="M"/>
    <x v="4"/>
    <x v="4"/>
    <x v="0"/>
    <x v="26"/>
    <x v="3"/>
    <x v="8"/>
    <x v="1"/>
  </r>
  <r>
    <s v="TX501527"/>
    <x v="1"/>
    <x v="1"/>
    <n v="54.8"/>
    <n v="109.6"/>
    <d v="2025-02-26T00:00:00"/>
    <d v="2025-02-26T00:00:00"/>
    <s v="M"/>
    <x v="0"/>
    <x v="1"/>
    <x v="0"/>
    <x v="26"/>
    <x v="7"/>
    <x v="8"/>
    <x v="1"/>
  </r>
  <r>
    <s v="TX501528"/>
    <x v="7"/>
    <x v="1"/>
    <n v="78.599999999999994"/>
    <n v="157.19999999999999"/>
    <d v="2025-02-26T00:00:00"/>
    <d v="2025-02-27T00:00:00"/>
    <s v="M"/>
    <x v="0"/>
    <x v="2"/>
    <x v="0"/>
    <x v="9"/>
    <x v="3"/>
    <x v="8"/>
    <x v="1"/>
  </r>
  <r>
    <s v="TX501529"/>
    <x v="2"/>
    <x v="9"/>
    <n v="158.5"/>
    <n v="792.5"/>
    <d v="2025-02-26T00:00:00"/>
    <d v="2025-02-28T00:00:00"/>
    <s v=""/>
    <x v="2"/>
    <x v="2"/>
    <x v="0"/>
    <x v="9"/>
    <x v="1"/>
    <x v="8"/>
    <x v="0"/>
  </r>
  <r>
    <s v="TX501530"/>
    <x v="4"/>
    <x v="7"/>
    <n v="23.5"/>
    <n v="235"/>
    <d v="2025-02-26T00:00:00"/>
    <d v="2025-03-01T00:00:00"/>
    <s v="M"/>
    <x v="0"/>
    <x v="4"/>
    <x v="0"/>
    <x v="10"/>
    <x v="2"/>
    <x v="8"/>
    <x v="1"/>
  </r>
  <r>
    <s v="TX501531"/>
    <x v="5"/>
    <x v="1"/>
    <n v="32.1"/>
    <n v="64.2"/>
    <d v="2025-02-26T00:00:00"/>
    <d v="2025-02-28T00:00:00"/>
    <s v=""/>
    <x v="3"/>
    <x v="0"/>
    <x v="0"/>
    <x v="10"/>
    <x v="1"/>
    <x v="8"/>
    <x v="0"/>
  </r>
  <r>
    <s v="TX501532"/>
    <x v="17"/>
    <x v="12"/>
    <n v="71.900000000000006"/>
    <n v="287.60000000000002"/>
    <d v="2025-02-26T00:00:00"/>
    <d v="2025-02-26T00:00:00"/>
    <s v="M"/>
    <x v="2"/>
    <x v="0"/>
    <x v="0"/>
    <x v="19"/>
    <x v="7"/>
    <x v="8"/>
    <x v="1"/>
  </r>
  <r>
    <s v="TX501533"/>
    <x v="4"/>
    <x v="13"/>
    <n v="22.3"/>
    <n v="133.80000000000001"/>
    <d v="2025-02-26T00:00:00"/>
    <d v="2025-02-27T00:00:00"/>
    <s v=""/>
    <x v="3"/>
    <x v="2"/>
    <x v="0"/>
    <x v="13"/>
    <x v="3"/>
    <x v="8"/>
    <x v="0"/>
  </r>
  <r>
    <s v="TX501534"/>
    <x v="11"/>
    <x v="1"/>
    <n v="29.5"/>
    <n v="59"/>
    <d v="2025-02-26T00:00:00"/>
    <d v="2025-02-27T00:00:00"/>
    <s v="F"/>
    <x v="0"/>
    <x v="2"/>
    <x v="0"/>
    <x v="13"/>
    <x v="3"/>
    <x v="8"/>
    <x v="2"/>
  </r>
  <r>
    <s v="TX501535"/>
    <x v="6"/>
    <x v="12"/>
    <n v="41.9"/>
    <n v="167.6"/>
    <d v="2025-02-26T00:00:00"/>
    <d v="2025-03-02T00:00:00"/>
    <s v="F"/>
    <x v="0"/>
    <x v="1"/>
    <x v="0"/>
    <x v="21"/>
    <x v="5"/>
    <x v="8"/>
    <x v="2"/>
  </r>
  <r>
    <s v="TX501536"/>
    <x v="6"/>
    <x v="2"/>
    <n v="107.8"/>
    <n v="323.39999999999998"/>
    <d v="2025-02-26T00:00:00"/>
    <d v="2025-02-27T00:00:00"/>
    <s v="M"/>
    <x v="1"/>
    <x v="2"/>
    <x v="0"/>
    <x v="46"/>
    <x v="3"/>
    <x v="8"/>
    <x v="1"/>
  </r>
  <r>
    <s v="TX501537"/>
    <x v="4"/>
    <x v="9"/>
    <n v="18.100000000000001"/>
    <n v="90.5"/>
    <d v="2025-02-26T00:00:00"/>
    <d v="2025-03-01T00:00:00"/>
    <s v="M"/>
    <x v="0"/>
    <x v="2"/>
    <x v="0"/>
    <x v="2"/>
    <x v="2"/>
    <x v="8"/>
    <x v="1"/>
  </r>
  <r>
    <s v="TX501538"/>
    <x v="12"/>
    <x v="11"/>
    <n v="79.8"/>
    <n v="718.19999999999993"/>
    <d v="2025-02-26T00:00:00"/>
    <d v="2025-02-27T00:00:00"/>
    <s v="F"/>
    <x v="1"/>
    <x v="1"/>
    <x v="0"/>
    <x v="22"/>
    <x v="3"/>
    <x v="8"/>
    <x v="2"/>
  </r>
  <r>
    <s v="TX501539"/>
    <x v="0"/>
    <x v="2"/>
    <n v="22.3"/>
    <n v="66.900000000000006"/>
    <d v="2025-02-26T00:00:00"/>
    <d v="2025-03-01T00:00:00"/>
    <s v="F"/>
    <x v="0"/>
    <x v="2"/>
    <x v="0"/>
    <x v="22"/>
    <x v="2"/>
    <x v="8"/>
    <x v="2"/>
  </r>
  <r>
    <s v="TX501540"/>
    <x v="8"/>
    <x v="0"/>
    <n v="22.9"/>
    <n v="22.9"/>
    <d v="2025-02-26T00:00:00"/>
    <d v="2025-02-26T00:00:00"/>
    <s v="F"/>
    <x v="1"/>
    <x v="0"/>
    <x v="0"/>
    <x v="22"/>
    <x v="7"/>
    <x v="8"/>
    <x v="2"/>
  </r>
  <r>
    <s v="TX501541"/>
    <x v="0"/>
    <x v="2"/>
    <n v="16.2"/>
    <n v="48.599999999999994"/>
    <d v="2025-02-27T00:00:00"/>
    <d v="2025-02-27T00:00:00"/>
    <s v="M"/>
    <x v="4"/>
    <x v="2"/>
    <x v="0"/>
    <x v="3"/>
    <x v="7"/>
    <x v="8"/>
    <x v="1"/>
  </r>
  <r>
    <s v="TX501542"/>
    <x v="10"/>
    <x v="12"/>
    <n v="59.5"/>
    <n v="238"/>
    <d v="2025-02-27T00:00:00"/>
    <d v="2025-02-28T00:00:00"/>
    <s v="M"/>
    <x v="1"/>
    <x v="2"/>
    <x v="0"/>
    <x v="3"/>
    <x v="3"/>
    <x v="8"/>
    <x v="1"/>
  </r>
  <r>
    <s v="TX501543"/>
    <x v="18"/>
    <x v="9"/>
    <n v="26.2"/>
    <n v="131"/>
    <d v="2025-02-27T00:00:00"/>
    <d v="2025-03-02T00:00:00"/>
    <s v="M"/>
    <x v="3"/>
    <x v="4"/>
    <x v="0"/>
    <x v="3"/>
    <x v="2"/>
    <x v="8"/>
    <x v="1"/>
  </r>
  <r>
    <s v="TX501544"/>
    <x v="3"/>
    <x v="0"/>
    <n v="44.2"/>
    <n v="44.2"/>
    <d v="2025-02-27T00:00:00"/>
    <d v="2025-03-02T00:00:00"/>
    <s v="F"/>
    <x v="1"/>
    <x v="0"/>
    <x v="0"/>
    <x v="3"/>
    <x v="2"/>
    <x v="8"/>
    <x v="2"/>
  </r>
  <r>
    <s v="TX501545"/>
    <x v="9"/>
    <x v="1"/>
    <n v="59.2"/>
    <n v="118.4"/>
    <d v="2025-02-27T00:00:00"/>
    <d v="2025-02-27T00:00:00"/>
    <s v="F"/>
    <x v="1"/>
    <x v="4"/>
    <x v="0"/>
    <x v="3"/>
    <x v="7"/>
    <x v="8"/>
    <x v="2"/>
  </r>
  <r>
    <s v="TX501546"/>
    <x v="15"/>
    <x v="12"/>
    <n v="41.5"/>
    <n v="166"/>
    <d v="2025-02-27T00:00:00"/>
    <d v="2025-03-01T00:00:00"/>
    <s v="F"/>
    <x v="0"/>
    <x v="0"/>
    <x v="0"/>
    <x v="16"/>
    <x v="1"/>
    <x v="8"/>
    <x v="2"/>
  </r>
  <r>
    <s v="TX501547"/>
    <x v="6"/>
    <x v="4"/>
    <n v="67.099999999999994"/>
    <n v="805.19999999999993"/>
    <d v="2025-02-27T00:00:00"/>
    <d v="2025-03-13T00:00:00"/>
    <s v="F"/>
    <x v="0"/>
    <x v="2"/>
    <x v="0"/>
    <x v="23"/>
    <x v="12"/>
    <x v="8"/>
    <x v="2"/>
  </r>
  <r>
    <s v="TX501548"/>
    <x v="8"/>
    <x v="1"/>
    <n v="28.7"/>
    <n v="57.4"/>
    <d v="2025-02-27T00:00:00"/>
    <d v="2025-03-03T00:00:00"/>
    <s v="F"/>
    <x v="1"/>
    <x v="0"/>
    <x v="0"/>
    <x v="6"/>
    <x v="5"/>
    <x v="8"/>
    <x v="2"/>
  </r>
  <r>
    <s v="TX501549"/>
    <x v="2"/>
    <x v="12"/>
    <n v="132.1"/>
    <n v="528.4"/>
    <d v="2025-02-27T00:00:00"/>
    <d v="2025-02-28T00:00:00"/>
    <s v="F"/>
    <x v="0"/>
    <x v="1"/>
    <x v="0"/>
    <x v="6"/>
    <x v="3"/>
    <x v="8"/>
    <x v="2"/>
  </r>
  <r>
    <s v="TX501550"/>
    <x v="18"/>
    <x v="1"/>
    <n v="47"/>
    <n v="94"/>
    <d v="2025-02-27T00:00:00"/>
    <d v="2025-03-01T00:00:00"/>
    <s v="M"/>
    <x v="4"/>
    <x v="0"/>
    <x v="0"/>
    <x v="8"/>
    <x v="1"/>
    <x v="8"/>
    <x v="1"/>
  </r>
  <r>
    <s v="TX501551"/>
    <x v="8"/>
    <x v="1"/>
    <n v="41.6"/>
    <n v="83.2"/>
    <d v="2025-02-27T00:00:00"/>
    <d v="2025-03-03T00:00:00"/>
    <s v="M"/>
    <x v="1"/>
    <x v="2"/>
    <x v="0"/>
    <x v="8"/>
    <x v="5"/>
    <x v="8"/>
    <x v="1"/>
  </r>
  <r>
    <s v="TX501552"/>
    <x v="8"/>
    <x v="43"/>
    <n v="17.3"/>
    <n v="657.4"/>
    <d v="2025-02-27T00:00:00"/>
    <d v="2025-03-01T00:00:00"/>
    <s v="M"/>
    <x v="2"/>
    <x v="2"/>
    <x v="0"/>
    <x v="8"/>
    <x v="1"/>
    <x v="8"/>
    <x v="1"/>
  </r>
  <r>
    <s v="TX501553"/>
    <x v="13"/>
    <x v="2"/>
    <n v="41.8"/>
    <n v="125.39999999999999"/>
    <d v="2025-02-27T00:00:00"/>
    <d v="2025-03-02T00:00:00"/>
    <s v="M"/>
    <x v="0"/>
    <x v="2"/>
    <x v="0"/>
    <x v="8"/>
    <x v="2"/>
    <x v="8"/>
    <x v="1"/>
  </r>
  <r>
    <s v="TX501554"/>
    <x v="10"/>
    <x v="0"/>
    <n v="24"/>
    <n v="24"/>
    <d v="2025-02-27T00:00:00"/>
    <d v="2025-02-28T00:00:00"/>
    <s v="F"/>
    <x v="0"/>
    <x v="0"/>
    <x v="0"/>
    <x v="17"/>
    <x v="3"/>
    <x v="8"/>
    <x v="2"/>
  </r>
  <r>
    <s v="TX501555"/>
    <x v="14"/>
    <x v="11"/>
    <n v="18.5"/>
    <n v="166.5"/>
    <d v="2025-02-27T00:00:00"/>
    <d v="2025-03-01T00:00:00"/>
    <s v="F"/>
    <x v="0"/>
    <x v="0"/>
    <x v="0"/>
    <x v="9"/>
    <x v="1"/>
    <x v="8"/>
    <x v="2"/>
  </r>
  <r>
    <s v="TX501556"/>
    <x v="3"/>
    <x v="4"/>
    <n v="66.7"/>
    <n v="800.40000000000009"/>
    <d v="2025-02-27T00:00:00"/>
    <d v="2025-03-02T00:00:00"/>
    <s v=""/>
    <x v="0"/>
    <x v="2"/>
    <x v="0"/>
    <x v="11"/>
    <x v="2"/>
    <x v="8"/>
    <x v="0"/>
  </r>
  <r>
    <s v="TX501557"/>
    <x v="1"/>
    <x v="12"/>
    <n v="33.1"/>
    <n v="132.4"/>
    <d v="2025-02-27T00:00:00"/>
    <d v="2025-03-04T00:00:00"/>
    <s v="M"/>
    <x v="3"/>
    <x v="0"/>
    <x v="0"/>
    <x v="11"/>
    <x v="0"/>
    <x v="8"/>
    <x v="1"/>
  </r>
  <r>
    <s v="TX501558"/>
    <x v="19"/>
    <x v="11"/>
    <n v="42.1"/>
    <n v="378.90000000000003"/>
    <d v="2025-02-27T00:00:00"/>
    <d v="2025-03-10T00:00:00"/>
    <s v="M"/>
    <x v="1"/>
    <x v="0"/>
    <x v="0"/>
    <x v="18"/>
    <x v="11"/>
    <x v="8"/>
    <x v="1"/>
  </r>
  <r>
    <s v="TX501559"/>
    <x v="18"/>
    <x v="3"/>
    <n v="58.7"/>
    <n v="410.90000000000003"/>
    <d v="2025-02-27T00:00:00"/>
    <d v="2025-02-27T00:00:00"/>
    <s v="O"/>
    <x v="3"/>
    <x v="0"/>
    <x v="0"/>
    <x v="31"/>
    <x v="7"/>
    <x v="8"/>
    <x v="3"/>
  </r>
  <r>
    <s v="TX501560"/>
    <x v="6"/>
    <x v="12"/>
    <n v="54"/>
    <n v="216"/>
    <d v="2025-02-27T00:00:00"/>
    <d v="2025-03-01T00:00:00"/>
    <s v="F"/>
    <x v="1"/>
    <x v="0"/>
    <x v="0"/>
    <x v="1"/>
    <x v="1"/>
    <x v="8"/>
    <x v="2"/>
  </r>
  <r>
    <s v="TX501561"/>
    <x v="8"/>
    <x v="0"/>
    <n v="52.1"/>
    <n v="52.1"/>
    <d v="2025-02-27T00:00:00"/>
    <d v="2025-02-28T00:00:00"/>
    <s v="F"/>
    <x v="2"/>
    <x v="2"/>
    <x v="0"/>
    <x v="2"/>
    <x v="3"/>
    <x v="8"/>
    <x v="2"/>
  </r>
  <r>
    <s v="TX501562"/>
    <x v="19"/>
    <x v="1"/>
    <n v="27"/>
    <n v="54"/>
    <d v="2025-02-27T00:00:00"/>
    <d v="2025-03-02T00:00:00"/>
    <s v="O"/>
    <x v="2"/>
    <x v="0"/>
    <x v="0"/>
    <x v="22"/>
    <x v="2"/>
    <x v="8"/>
    <x v="3"/>
  </r>
  <r>
    <s v="TX501563"/>
    <x v="12"/>
    <x v="7"/>
    <n v="31"/>
    <n v="310"/>
    <d v="2025-02-28T00:00:00"/>
    <d v="2025-03-01T00:00:00"/>
    <s v="F"/>
    <x v="3"/>
    <x v="2"/>
    <x v="0"/>
    <x v="22"/>
    <x v="3"/>
    <x v="8"/>
    <x v="2"/>
  </r>
  <r>
    <s v="TX501564"/>
    <x v="10"/>
    <x v="1"/>
    <n v="46.7"/>
    <n v="93.4"/>
    <d v="2025-02-28T00:00:00"/>
    <d v="2025-02-28T00:00:00"/>
    <s v="F"/>
    <x v="0"/>
    <x v="0"/>
    <x v="0"/>
    <x v="34"/>
    <x v="7"/>
    <x v="8"/>
    <x v="2"/>
  </r>
  <r>
    <s v="TX501565"/>
    <x v="6"/>
    <x v="0"/>
    <n v="144.69999999999999"/>
    <n v="144.69999999999999"/>
    <d v="2025-02-28T00:00:00"/>
    <d v="2025-03-03T00:00:00"/>
    <s v="M"/>
    <x v="0"/>
    <x v="2"/>
    <x v="0"/>
    <x v="3"/>
    <x v="2"/>
    <x v="8"/>
    <x v="1"/>
  </r>
  <r>
    <s v="TX501566"/>
    <x v="2"/>
    <x v="11"/>
    <n v="90.9"/>
    <n v="818.1"/>
    <d v="2025-02-28T00:00:00"/>
    <d v="2025-03-01T00:00:00"/>
    <s v="M"/>
    <x v="0"/>
    <x v="2"/>
    <x v="0"/>
    <x v="3"/>
    <x v="3"/>
    <x v="8"/>
    <x v="1"/>
  </r>
  <r>
    <s v="TX501567"/>
    <x v="1"/>
    <x v="1"/>
    <n v="75.8"/>
    <n v="151.6"/>
    <d v="2025-02-28T00:00:00"/>
    <d v="2025-03-01T00:00:00"/>
    <s v="F"/>
    <x v="2"/>
    <x v="1"/>
    <x v="0"/>
    <x v="3"/>
    <x v="3"/>
    <x v="8"/>
    <x v="2"/>
  </r>
  <r>
    <s v="TX501568"/>
    <x v="7"/>
    <x v="9"/>
    <n v="57.9"/>
    <n v="289.5"/>
    <d v="2025-02-28T00:00:00"/>
    <d v="2025-03-02T00:00:00"/>
    <s v="M"/>
    <x v="2"/>
    <x v="2"/>
    <x v="0"/>
    <x v="3"/>
    <x v="1"/>
    <x v="8"/>
    <x v="1"/>
  </r>
  <r>
    <s v="TX501569"/>
    <x v="8"/>
    <x v="9"/>
    <n v="44.8"/>
    <n v="224"/>
    <d v="2025-02-28T00:00:00"/>
    <d v="2025-03-01T00:00:00"/>
    <s v="F"/>
    <x v="3"/>
    <x v="2"/>
    <x v="0"/>
    <x v="3"/>
    <x v="3"/>
    <x v="8"/>
    <x v="2"/>
  </r>
  <r>
    <s v="TX501570"/>
    <x v="9"/>
    <x v="2"/>
    <n v="44.2"/>
    <n v="132.60000000000002"/>
    <d v="2025-02-28T00:00:00"/>
    <d v="2025-03-04T00:00:00"/>
    <s v="M"/>
    <x v="2"/>
    <x v="2"/>
    <x v="0"/>
    <x v="3"/>
    <x v="5"/>
    <x v="8"/>
    <x v="1"/>
  </r>
  <r>
    <s v="TX501571"/>
    <x v="5"/>
    <x v="9"/>
    <n v="53.5"/>
    <n v="267.5"/>
    <d v="2025-02-28T00:00:00"/>
    <d v="2025-03-02T00:00:00"/>
    <s v="M"/>
    <x v="0"/>
    <x v="0"/>
    <x v="0"/>
    <x v="37"/>
    <x v="1"/>
    <x v="8"/>
    <x v="1"/>
  </r>
  <r>
    <s v="TX501572"/>
    <x v="6"/>
    <x v="1"/>
    <n v="72.2"/>
    <n v="144.4"/>
    <d v="2025-02-28T00:00:00"/>
    <d v="2025-03-01T00:00:00"/>
    <s v="M"/>
    <x v="0"/>
    <x v="2"/>
    <x v="0"/>
    <x v="25"/>
    <x v="3"/>
    <x v="8"/>
    <x v="1"/>
  </r>
  <r>
    <s v="TX501573"/>
    <x v="6"/>
    <x v="12"/>
    <n v="62.4"/>
    <n v="249.6"/>
    <d v="2025-02-28T00:00:00"/>
    <d v="2025-03-03T00:00:00"/>
    <s v="F"/>
    <x v="0"/>
    <x v="1"/>
    <x v="0"/>
    <x v="23"/>
    <x v="2"/>
    <x v="8"/>
    <x v="2"/>
  </r>
  <r>
    <s v="TX501574"/>
    <x v="10"/>
    <x v="9"/>
    <n v="24.7"/>
    <n v="123.5"/>
    <d v="2025-02-28T00:00:00"/>
    <d v="2025-03-01T00:00:00"/>
    <s v="F"/>
    <x v="0"/>
    <x v="0"/>
    <x v="0"/>
    <x v="6"/>
    <x v="3"/>
    <x v="8"/>
    <x v="2"/>
  </r>
  <r>
    <s v="TX501575"/>
    <x v="1"/>
    <x v="9"/>
    <n v="61.7"/>
    <n v="308.5"/>
    <d v="2025-02-28T00:00:00"/>
    <d v="2025-03-02T00:00:00"/>
    <s v="F"/>
    <x v="2"/>
    <x v="0"/>
    <x v="0"/>
    <x v="8"/>
    <x v="1"/>
    <x v="8"/>
    <x v="2"/>
  </r>
  <r>
    <s v="TX501576"/>
    <x v="8"/>
    <x v="9"/>
    <n v="18.2"/>
    <n v="91"/>
    <d v="2025-02-28T00:00:00"/>
    <d v="2025-03-02T00:00:00"/>
    <s v="F"/>
    <x v="3"/>
    <x v="0"/>
    <x v="0"/>
    <x v="8"/>
    <x v="1"/>
    <x v="8"/>
    <x v="2"/>
  </r>
  <r>
    <s v="TX501577"/>
    <x v="10"/>
    <x v="12"/>
    <n v="37.200000000000003"/>
    <n v="148.80000000000001"/>
    <d v="2025-02-28T00:00:00"/>
    <d v="2025-03-06T00:00:00"/>
    <s v="F"/>
    <x v="0"/>
    <x v="0"/>
    <x v="0"/>
    <x v="8"/>
    <x v="4"/>
    <x v="8"/>
    <x v="2"/>
  </r>
  <r>
    <s v="TX501578"/>
    <x v="9"/>
    <x v="2"/>
    <n v="53.5"/>
    <n v="160.5"/>
    <d v="2025-02-28T00:00:00"/>
    <d v="2025-03-02T00:00:00"/>
    <s v="F"/>
    <x v="1"/>
    <x v="2"/>
    <x v="0"/>
    <x v="9"/>
    <x v="1"/>
    <x v="8"/>
    <x v="2"/>
  </r>
  <r>
    <s v="TX501579"/>
    <x v="8"/>
    <x v="2"/>
    <n v="43.6"/>
    <n v="130.80000000000001"/>
    <d v="2025-02-28T00:00:00"/>
    <d v="2025-02-28T00:00:00"/>
    <s v="F"/>
    <x v="0"/>
    <x v="0"/>
    <x v="0"/>
    <x v="9"/>
    <x v="7"/>
    <x v="8"/>
    <x v="2"/>
  </r>
  <r>
    <s v="TX501580"/>
    <x v="1"/>
    <x v="7"/>
    <n v="135"/>
    <n v="1350"/>
    <d v="2025-02-28T00:00:00"/>
    <d v="2025-03-02T00:00:00"/>
    <s v="F"/>
    <x v="0"/>
    <x v="2"/>
    <x v="0"/>
    <x v="9"/>
    <x v="1"/>
    <x v="8"/>
    <x v="2"/>
  </r>
  <r>
    <s v="TX501581"/>
    <x v="8"/>
    <x v="9"/>
    <n v="38.5"/>
    <n v="192.5"/>
    <d v="2025-02-28T00:00:00"/>
    <d v="2025-02-28T00:00:00"/>
    <s v="M"/>
    <x v="4"/>
    <x v="2"/>
    <x v="0"/>
    <x v="10"/>
    <x v="7"/>
    <x v="8"/>
    <x v="1"/>
  </r>
  <r>
    <s v="TX501582"/>
    <x v="9"/>
    <x v="1"/>
    <n v="24"/>
    <n v="48"/>
    <d v="2025-02-28T00:00:00"/>
    <d v="2025-03-05T00:00:00"/>
    <s v="F"/>
    <x v="0"/>
    <x v="0"/>
    <x v="0"/>
    <x v="11"/>
    <x v="0"/>
    <x v="8"/>
    <x v="2"/>
  </r>
  <r>
    <s v="TX501583"/>
    <x v="4"/>
    <x v="2"/>
    <n v="28.2"/>
    <n v="84.6"/>
    <d v="2025-02-28T00:00:00"/>
    <d v="2025-03-02T00:00:00"/>
    <s v="M"/>
    <x v="0"/>
    <x v="3"/>
    <x v="0"/>
    <x v="18"/>
    <x v="1"/>
    <x v="8"/>
    <x v="1"/>
  </r>
  <r>
    <s v="TX501584"/>
    <x v="7"/>
    <x v="2"/>
    <n v="37.4"/>
    <n v="112.19999999999999"/>
    <d v="2025-02-28T00:00:00"/>
    <d v="2025-03-01T00:00:00"/>
    <s v="F"/>
    <x v="3"/>
    <x v="0"/>
    <x v="0"/>
    <x v="1"/>
    <x v="3"/>
    <x v="8"/>
    <x v="2"/>
  </r>
  <r>
    <s v="TX501585"/>
    <x v="6"/>
    <x v="2"/>
    <n v="53.5"/>
    <n v="160.5"/>
    <d v="2025-02-28T00:00:00"/>
    <d v="2025-03-03T00:00:00"/>
    <s v=""/>
    <x v="4"/>
    <x v="4"/>
    <x v="0"/>
    <x v="1"/>
    <x v="2"/>
    <x v="8"/>
    <x v="0"/>
  </r>
  <r>
    <s v="TX501586"/>
    <x v="11"/>
    <x v="9"/>
    <n v="36.200000000000003"/>
    <n v="181"/>
    <d v="2025-02-28T00:00:00"/>
    <d v="2025-03-01T00:00:00"/>
    <s v="M"/>
    <x v="1"/>
    <x v="2"/>
    <x v="0"/>
    <x v="33"/>
    <x v="3"/>
    <x v="8"/>
    <x v="1"/>
  </r>
  <r>
    <s v="TX501587"/>
    <x v="0"/>
    <x v="8"/>
    <n v="31.9"/>
    <n v="255.2"/>
    <d v="2025-02-28T00:00:00"/>
    <d v="2025-03-01T00:00:00"/>
    <s v="F"/>
    <x v="4"/>
    <x v="0"/>
    <x v="0"/>
    <x v="3"/>
    <x v="3"/>
    <x v="8"/>
    <x v="2"/>
  </r>
  <r>
    <s v="TX501588"/>
    <x v="8"/>
    <x v="2"/>
    <n v="21.3"/>
    <n v="63.900000000000006"/>
    <d v="2025-02-28T00:00:00"/>
    <d v="2025-03-01T00:00:00"/>
    <s v="M"/>
    <x v="0"/>
    <x v="2"/>
    <x v="0"/>
    <x v="3"/>
    <x v="3"/>
    <x v="8"/>
    <x v="1"/>
  </r>
  <r>
    <s v="TX501589"/>
    <x v="8"/>
    <x v="0"/>
    <n v="36.299999999999997"/>
    <n v="36.299999999999997"/>
    <d v="2025-02-28T00:00:00"/>
    <d v="2025-03-02T00:00:00"/>
    <s v="O"/>
    <x v="4"/>
    <x v="0"/>
    <x v="0"/>
    <x v="3"/>
    <x v="1"/>
    <x v="8"/>
    <x v="3"/>
  </r>
  <r>
    <s v="TX501590"/>
    <x v="6"/>
    <x v="2"/>
    <n v="110.5"/>
    <n v="331.5"/>
    <d v="2025-02-28T00:00:00"/>
    <d v="2025-03-01T00:00:00"/>
    <s v="F"/>
    <x v="0"/>
    <x v="3"/>
    <x v="0"/>
    <x v="3"/>
    <x v="3"/>
    <x v="8"/>
    <x v="2"/>
  </r>
  <r>
    <s v="TX501591"/>
    <x v="10"/>
    <x v="3"/>
    <n v="32.6"/>
    <n v="228.20000000000002"/>
    <d v="2025-02-28T00:00:00"/>
    <d v="2025-03-02T00:00:00"/>
    <s v="F"/>
    <x v="0"/>
    <x v="1"/>
    <x v="0"/>
    <x v="3"/>
    <x v="1"/>
    <x v="8"/>
    <x v="2"/>
  </r>
  <r>
    <s v="TX501592"/>
    <x v="5"/>
    <x v="2"/>
    <n v="55.6"/>
    <n v="166.8"/>
    <d v="2025-03-01T00:00:00"/>
    <d v="2025-03-14T00:00:00"/>
    <s v="F"/>
    <x v="0"/>
    <x v="0"/>
    <x v="0"/>
    <x v="3"/>
    <x v="10"/>
    <x v="8"/>
    <x v="2"/>
  </r>
  <r>
    <s v="TX501593"/>
    <x v="1"/>
    <x v="12"/>
    <n v="38"/>
    <n v="152"/>
    <d v="2025-03-01T00:00:00"/>
    <d v="2025-03-02T00:00:00"/>
    <s v="F"/>
    <x v="3"/>
    <x v="2"/>
    <x v="0"/>
    <x v="5"/>
    <x v="3"/>
    <x v="8"/>
    <x v="2"/>
  </r>
  <r>
    <s v="TX501594"/>
    <x v="10"/>
    <x v="1"/>
    <n v="51.8"/>
    <n v="103.6"/>
    <d v="2025-03-01T00:00:00"/>
    <d v="2025-03-07T00:00:00"/>
    <s v="M"/>
    <x v="1"/>
    <x v="4"/>
    <x v="0"/>
    <x v="6"/>
    <x v="4"/>
    <x v="8"/>
    <x v="1"/>
  </r>
  <r>
    <s v="TX501595"/>
    <x v="11"/>
    <x v="8"/>
    <n v="28.7"/>
    <n v="229.6"/>
    <d v="2025-03-01T00:00:00"/>
    <d v="2025-03-06T00:00:00"/>
    <s v="F"/>
    <x v="0"/>
    <x v="0"/>
    <x v="0"/>
    <x v="6"/>
    <x v="0"/>
    <x v="8"/>
    <x v="2"/>
  </r>
  <r>
    <s v="TX501596"/>
    <x v="6"/>
    <x v="4"/>
    <n v="52.2"/>
    <n v="626.40000000000009"/>
    <d v="2025-03-01T00:00:00"/>
    <d v="2025-03-01T00:00:00"/>
    <s v="M"/>
    <x v="0"/>
    <x v="1"/>
    <x v="0"/>
    <x v="6"/>
    <x v="7"/>
    <x v="8"/>
    <x v="1"/>
  </r>
  <r>
    <s v="TX501597"/>
    <x v="1"/>
    <x v="1"/>
    <n v="68.2"/>
    <n v="136.4"/>
    <d v="2025-03-01T00:00:00"/>
    <d v="2025-03-02T00:00:00"/>
    <s v=""/>
    <x v="2"/>
    <x v="0"/>
    <x v="0"/>
    <x v="7"/>
    <x v="3"/>
    <x v="8"/>
    <x v="0"/>
  </r>
  <r>
    <s v="TX501598"/>
    <x v="0"/>
    <x v="2"/>
    <n v="34"/>
    <n v="102"/>
    <d v="2025-03-01T00:00:00"/>
    <d v="2025-03-05T00:00:00"/>
    <s v="F"/>
    <x v="0"/>
    <x v="0"/>
    <x v="0"/>
    <x v="8"/>
    <x v="5"/>
    <x v="8"/>
    <x v="2"/>
  </r>
  <r>
    <s v="TX501599"/>
    <x v="8"/>
    <x v="2"/>
    <n v="19.100000000000001"/>
    <n v="57.300000000000004"/>
    <d v="2025-03-01T00:00:00"/>
    <d v="2025-03-02T00:00:00"/>
    <s v="F"/>
    <x v="4"/>
    <x v="0"/>
    <x v="0"/>
    <x v="8"/>
    <x v="3"/>
    <x v="8"/>
    <x v="2"/>
  </r>
  <r>
    <s v="TX501600"/>
    <x v="5"/>
    <x v="8"/>
    <n v="34"/>
    <n v="272"/>
    <d v="2025-03-01T00:00:00"/>
    <d v="2025-03-09T00:00:00"/>
    <s v="F"/>
    <x v="4"/>
    <x v="0"/>
    <x v="0"/>
    <x v="8"/>
    <x v="9"/>
    <x v="8"/>
    <x v="2"/>
  </r>
  <r>
    <s v="TX501601"/>
    <x v="12"/>
    <x v="1"/>
    <n v="109.1"/>
    <n v="218.2"/>
    <d v="2025-03-01T00:00:00"/>
    <d v="2025-03-03T00:00:00"/>
    <s v="M"/>
    <x v="0"/>
    <x v="2"/>
    <x v="0"/>
    <x v="8"/>
    <x v="1"/>
    <x v="8"/>
    <x v="1"/>
  </r>
  <r>
    <s v="TX501602"/>
    <x v="18"/>
    <x v="1"/>
    <n v="64.8"/>
    <n v="129.6"/>
    <d v="2025-03-01T00:00:00"/>
    <d v="2025-03-03T00:00:00"/>
    <s v="M"/>
    <x v="0"/>
    <x v="2"/>
    <x v="0"/>
    <x v="8"/>
    <x v="1"/>
    <x v="8"/>
    <x v="1"/>
  </r>
  <r>
    <s v="TX501603"/>
    <x v="10"/>
    <x v="1"/>
    <n v="21.1"/>
    <n v="42.2"/>
    <d v="2025-03-01T00:00:00"/>
    <d v="2025-03-01T00:00:00"/>
    <s v="F"/>
    <x v="1"/>
    <x v="0"/>
    <x v="0"/>
    <x v="11"/>
    <x v="7"/>
    <x v="8"/>
    <x v="2"/>
  </r>
  <r>
    <s v="TX501604"/>
    <x v="0"/>
    <x v="8"/>
    <n v="21.3"/>
    <n v="170.4"/>
    <d v="2025-03-01T00:00:00"/>
    <d v="2025-03-03T00:00:00"/>
    <s v="M"/>
    <x v="3"/>
    <x v="1"/>
    <x v="0"/>
    <x v="18"/>
    <x v="1"/>
    <x v="8"/>
    <x v="1"/>
  </r>
  <r>
    <s v="TX501605"/>
    <x v="9"/>
    <x v="2"/>
    <n v="24.3"/>
    <n v="72.900000000000006"/>
    <d v="2025-03-01T00:00:00"/>
    <d v="2025-03-02T00:00:00"/>
    <s v="M"/>
    <x v="1"/>
    <x v="0"/>
    <x v="0"/>
    <x v="19"/>
    <x v="3"/>
    <x v="8"/>
    <x v="1"/>
  </r>
  <r>
    <s v="TX501606"/>
    <x v="8"/>
    <x v="0"/>
    <n v="43.3"/>
    <n v="43.3"/>
    <d v="2025-03-01T00:00:00"/>
    <d v="2025-03-05T00:00:00"/>
    <s v="M"/>
    <x v="1"/>
    <x v="1"/>
    <x v="0"/>
    <x v="13"/>
    <x v="5"/>
    <x v="8"/>
    <x v="1"/>
  </r>
  <r>
    <s v="TX501607"/>
    <x v="9"/>
    <x v="2"/>
    <n v="41"/>
    <n v="123"/>
    <d v="2025-03-01T00:00:00"/>
    <d v="2025-03-02T00:00:00"/>
    <s v="F"/>
    <x v="3"/>
    <x v="4"/>
    <x v="0"/>
    <x v="21"/>
    <x v="3"/>
    <x v="8"/>
    <x v="2"/>
  </r>
  <r>
    <s v="TX501608"/>
    <x v="16"/>
    <x v="2"/>
    <n v="54.1"/>
    <n v="162.30000000000001"/>
    <d v="2025-03-01T00:00:00"/>
    <d v="2025-03-03T00:00:00"/>
    <s v="F"/>
    <x v="4"/>
    <x v="0"/>
    <x v="0"/>
    <x v="21"/>
    <x v="1"/>
    <x v="8"/>
    <x v="2"/>
  </r>
  <r>
    <s v="TX501609"/>
    <x v="11"/>
    <x v="1"/>
    <n v="39"/>
    <n v="78"/>
    <d v="2025-03-01T00:00:00"/>
    <d v="2025-03-02T00:00:00"/>
    <s v="M"/>
    <x v="1"/>
    <x v="2"/>
    <x v="0"/>
    <x v="1"/>
    <x v="3"/>
    <x v="8"/>
    <x v="1"/>
  </r>
  <r>
    <s v="TX501610"/>
    <x v="8"/>
    <x v="1"/>
    <n v="40.299999999999997"/>
    <n v="80.599999999999994"/>
    <d v="2025-03-01T00:00:00"/>
    <d v="2025-03-03T00:00:00"/>
    <s v="M"/>
    <x v="3"/>
    <x v="0"/>
    <x v="0"/>
    <x v="27"/>
    <x v="1"/>
    <x v="8"/>
    <x v="1"/>
  </r>
  <r>
    <s v="TX501611"/>
    <x v="8"/>
    <x v="2"/>
    <n v="24.1"/>
    <n v="72.300000000000011"/>
    <d v="2025-03-01T00:00:00"/>
    <d v="2025-03-02T00:00:00"/>
    <s v="M"/>
    <x v="0"/>
    <x v="2"/>
    <x v="0"/>
    <x v="34"/>
    <x v="3"/>
    <x v="8"/>
    <x v="1"/>
  </r>
  <r>
    <s v="TX501612"/>
    <x v="6"/>
    <x v="9"/>
    <n v="52.3"/>
    <n v="261.5"/>
    <d v="2025-03-01T00:00:00"/>
    <d v="2025-03-02T00:00:00"/>
    <s v="M"/>
    <x v="2"/>
    <x v="0"/>
    <x v="0"/>
    <x v="3"/>
    <x v="3"/>
    <x v="8"/>
    <x v="1"/>
  </r>
  <r>
    <s v="TX501613"/>
    <x v="12"/>
    <x v="12"/>
    <n v="68.8"/>
    <n v="275.2"/>
    <d v="2025-03-01T00:00:00"/>
    <d v="2025-03-05T00:00:00"/>
    <s v="F"/>
    <x v="4"/>
    <x v="2"/>
    <x v="0"/>
    <x v="3"/>
    <x v="5"/>
    <x v="8"/>
    <x v="2"/>
  </r>
  <r>
    <s v="TX501614"/>
    <x v="2"/>
    <x v="1"/>
    <n v="128.80000000000001"/>
    <n v="257.60000000000002"/>
    <d v="2025-03-02T00:00:00"/>
    <d v="2025-03-05T00:00:00"/>
    <s v="F"/>
    <x v="1"/>
    <x v="1"/>
    <x v="0"/>
    <x v="3"/>
    <x v="2"/>
    <x v="9"/>
    <x v="2"/>
  </r>
  <r>
    <s v="TX501615"/>
    <x v="15"/>
    <x v="9"/>
    <n v="48.2"/>
    <n v="241"/>
    <d v="2025-03-02T00:00:00"/>
    <d v="2025-03-04T00:00:00"/>
    <s v="F"/>
    <x v="3"/>
    <x v="0"/>
    <x v="0"/>
    <x v="3"/>
    <x v="1"/>
    <x v="9"/>
    <x v="2"/>
  </r>
  <r>
    <s v="TX501616"/>
    <x v="10"/>
    <x v="0"/>
    <n v="39.700000000000003"/>
    <n v="39.700000000000003"/>
    <d v="2025-03-02T00:00:00"/>
    <d v="2025-03-04T00:00:00"/>
    <s v="F"/>
    <x v="0"/>
    <x v="1"/>
    <x v="0"/>
    <x v="3"/>
    <x v="1"/>
    <x v="9"/>
    <x v="2"/>
  </r>
  <r>
    <s v="TX501617"/>
    <x v="9"/>
    <x v="0"/>
    <n v="59.7"/>
    <n v="59.7"/>
    <d v="2025-03-02T00:00:00"/>
    <d v="2025-03-05T00:00:00"/>
    <s v="F"/>
    <x v="4"/>
    <x v="0"/>
    <x v="0"/>
    <x v="3"/>
    <x v="2"/>
    <x v="9"/>
    <x v="2"/>
  </r>
  <r>
    <s v="TX501618"/>
    <x v="6"/>
    <x v="0"/>
    <n v="48.3"/>
    <n v="48.3"/>
    <d v="2025-03-02T00:00:00"/>
    <d v="2025-03-16T00:00:00"/>
    <s v="O"/>
    <x v="0"/>
    <x v="2"/>
    <x v="0"/>
    <x v="3"/>
    <x v="12"/>
    <x v="9"/>
    <x v="3"/>
  </r>
  <r>
    <s v="TX501619"/>
    <x v="8"/>
    <x v="2"/>
    <n v="45.5"/>
    <n v="136.5"/>
    <d v="2025-03-02T00:00:00"/>
    <d v="2025-03-04T00:00:00"/>
    <s v="M"/>
    <x v="2"/>
    <x v="1"/>
    <x v="0"/>
    <x v="3"/>
    <x v="1"/>
    <x v="9"/>
    <x v="1"/>
  </r>
  <r>
    <s v="TX501620"/>
    <x v="9"/>
    <x v="6"/>
    <n v="51"/>
    <n v="1377"/>
    <d v="2025-03-02T00:00:00"/>
    <d v="2025-03-02T00:00:00"/>
    <s v="F"/>
    <x v="2"/>
    <x v="0"/>
    <x v="0"/>
    <x v="3"/>
    <x v="7"/>
    <x v="9"/>
    <x v="2"/>
  </r>
  <r>
    <s v="TX501621"/>
    <x v="4"/>
    <x v="13"/>
    <n v="20.399999999999999"/>
    <n v="122.39999999999999"/>
    <d v="2025-03-02T00:00:00"/>
    <d v="2025-03-03T00:00:00"/>
    <s v="M"/>
    <x v="2"/>
    <x v="0"/>
    <x v="0"/>
    <x v="3"/>
    <x v="3"/>
    <x v="9"/>
    <x v="1"/>
  </r>
  <r>
    <s v="TX501622"/>
    <x v="10"/>
    <x v="1"/>
    <n v="30.4"/>
    <n v="60.8"/>
    <d v="2025-03-02T00:00:00"/>
    <d v="2025-03-04T00:00:00"/>
    <s v="M"/>
    <x v="2"/>
    <x v="0"/>
    <x v="0"/>
    <x v="3"/>
    <x v="1"/>
    <x v="9"/>
    <x v="1"/>
  </r>
  <r>
    <s v="TX501623"/>
    <x v="7"/>
    <x v="1"/>
    <n v="71.5"/>
    <n v="143"/>
    <d v="2025-03-02T00:00:00"/>
    <d v="2025-03-06T00:00:00"/>
    <s v="F"/>
    <x v="0"/>
    <x v="0"/>
    <x v="0"/>
    <x v="3"/>
    <x v="5"/>
    <x v="9"/>
    <x v="2"/>
  </r>
  <r>
    <s v="TX501624"/>
    <x v="8"/>
    <x v="13"/>
    <n v="18"/>
    <n v="108"/>
    <d v="2025-03-02T00:00:00"/>
    <d v="2025-03-03T00:00:00"/>
    <s v="O"/>
    <x v="1"/>
    <x v="2"/>
    <x v="0"/>
    <x v="6"/>
    <x v="3"/>
    <x v="9"/>
    <x v="3"/>
  </r>
  <r>
    <s v="TX501625"/>
    <x v="15"/>
    <x v="5"/>
    <n v="45.6"/>
    <n v="501.6"/>
    <d v="2025-03-02T00:00:00"/>
    <d v="2025-03-03T00:00:00"/>
    <s v="O"/>
    <x v="1"/>
    <x v="1"/>
    <x v="0"/>
    <x v="7"/>
    <x v="3"/>
    <x v="9"/>
    <x v="3"/>
  </r>
  <r>
    <s v="TX501626"/>
    <x v="9"/>
    <x v="0"/>
    <n v="31.8"/>
    <n v="31.8"/>
    <d v="2025-03-02T00:00:00"/>
    <d v="2025-03-06T00:00:00"/>
    <s v="F"/>
    <x v="0"/>
    <x v="2"/>
    <x v="0"/>
    <x v="7"/>
    <x v="5"/>
    <x v="9"/>
    <x v="2"/>
  </r>
  <r>
    <s v="TX501627"/>
    <x v="8"/>
    <x v="9"/>
    <n v="19.899999999999999"/>
    <n v="99.5"/>
    <d v="2025-03-02T00:00:00"/>
    <d v="2025-03-03T00:00:00"/>
    <s v="F"/>
    <x v="1"/>
    <x v="0"/>
    <x v="0"/>
    <x v="7"/>
    <x v="3"/>
    <x v="9"/>
    <x v="2"/>
  </r>
  <r>
    <s v="TX501628"/>
    <x v="12"/>
    <x v="11"/>
    <n v="52.1"/>
    <n v="468.90000000000003"/>
    <d v="2025-03-02T00:00:00"/>
    <d v="2025-03-04T00:00:00"/>
    <s v="M"/>
    <x v="0"/>
    <x v="0"/>
    <x v="0"/>
    <x v="8"/>
    <x v="1"/>
    <x v="9"/>
    <x v="1"/>
  </r>
  <r>
    <s v="TX501629"/>
    <x v="1"/>
    <x v="3"/>
    <n v="45.9"/>
    <n v="321.3"/>
    <d v="2025-03-02T00:00:00"/>
    <d v="2025-03-03T00:00:00"/>
    <s v="M"/>
    <x v="0"/>
    <x v="1"/>
    <x v="0"/>
    <x v="8"/>
    <x v="3"/>
    <x v="9"/>
    <x v="1"/>
  </r>
  <r>
    <s v="TX501630"/>
    <x v="1"/>
    <x v="7"/>
    <n v="115.9"/>
    <n v="1159"/>
    <d v="2025-03-02T00:00:00"/>
    <d v="2025-03-05T00:00:00"/>
    <s v="F"/>
    <x v="1"/>
    <x v="0"/>
    <x v="0"/>
    <x v="8"/>
    <x v="2"/>
    <x v="9"/>
    <x v="2"/>
  </r>
  <r>
    <s v="TX501631"/>
    <x v="6"/>
    <x v="11"/>
    <n v="86"/>
    <n v="774"/>
    <d v="2025-03-02T00:00:00"/>
    <d v="2025-03-07T00:00:00"/>
    <s v="F"/>
    <x v="0"/>
    <x v="1"/>
    <x v="0"/>
    <x v="8"/>
    <x v="0"/>
    <x v="9"/>
    <x v="2"/>
  </r>
  <r>
    <s v="TX501632"/>
    <x v="7"/>
    <x v="3"/>
    <n v="73.599999999999994"/>
    <n v="515.19999999999993"/>
    <d v="2025-03-02T00:00:00"/>
    <d v="2025-03-04T00:00:00"/>
    <s v="F"/>
    <x v="0"/>
    <x v="0"/>
    <x v="0"/>
    <x v="17"/>
    <x v="1"/>
    <x v="9"/>
    <x v="2"/>
  </r>
  <r>
    <s v="TX501633"/>
    <x v="10"/>
    <x v="2"/>
    <n v="26.7"/>
    <n v="80.099999999999994"/>
    <d v="2025-03-02T00:00:00"/>
    <d v="2025-03-06T00:00:00"/>
    <s v="F"/>
    <x v="0"/>
    <x v="0"/>
    <x v="0"/>
    <x v="11"/>
    <x v="5"/>
    <x v="9"/>
    <x v="2"/>
  </r>
  <r>
    <s v="TX501634"/>
    <x v="8"/>
    <x v="3"/>
    <n v="46.6"/>
    <n v="326.2"/>
    <d v="2025-03-02T00:00:00"/>
    <d v="2025-03-04T00:00:00"/>
    <s v=""/>
    <x v="3"/>
    <x v="0"/>
    <x v="0"/>
    <x v="11"/>
    <x v="1"/>
    <x v="9"/>
    <x v="0"/>
  </r>
  <r>
    <s v="TX501635"/>
    <x v="3"/>
    <x v="2"/>
    <n v="84.6"/>
    <n v="253.79999999999998"/>
    <d v="2025-03-02T00:00:00"/>
    <d v="2025-03-04T00:00:00"/>
    <s v="M"/>
    <x v="4"/>
    <x v="0"/>
    <x v="0"/>
    <x v="11"/>
    <x v="1"/>
    <x v="9"/>
    <x v="1"/>
  </r>
  <r>
    <s v="TX501636"/>
    <x v="7"/>
    <x v="21"/>
    <n v="41.5"/>
    <n v="581"/>
    <d v="2025-03-02T00:00:00"/>
    <d v="2025-03-16T00:00:00"/>
    <s v="M"/>
    <x v="1"/>
    <x v="0"/>
    <x v="0"/>
    <x v="53"/>
    <x v="12"/>
    <x v="9"/>
    <x v="1"/>
  </r>
  <r>
    <s v="TX501637"/>
    <x v="8"/>
    <x v="0"/>
    <n v="32.799999999999997"/>
    <n v="32.799999999999997"/>
    <d v="2025-03-02T00:00:00"/>
    <d v="2025-03-05T00:00:00"/>
    <s v="M"/>
    <x v="0"/>
    <x v="2"/>
    <x v="0"/>
    <x v="30"/>
    <x v="2"/>
    <x v="9"/>
    <x v="1"/>
  </r>
  <r>
    <s v="TX501638"/>
    <x v="4"/>
    <x v="3"/>
    <n v="46.7"/>
    <n v="326.90000000000003"/>
    <d v="2025-03-02T00:00:00"/>
    <d v="2025-03-04T00:00:00"/>
    <s v="O"/>
    <x v="0"/>
    <x v="2"/>
    <x v="0"/>
    <x v="18"/>
    <x v="1"/>
    <x v="9"/>
    <x v="3"/>
  </r>
  <r>
    <s v="TX501639"/>
    <x v="15"/>
    <x v="3"/>
    <n v="21"/>
    <n v="147"/>
    <d v="2025-03-02T00:00:00"/>
    <d v="2025-03-05T00:00:00"/>
    <s v="M"/>
    <x v="2"/>
    <x v="1"/>
    <x v="0"/>
    <x v="21"/>
    <x v="2"/>
    <x v="9"/>
    <x v="1"/>
  </r>
  <r>
    <s v="TX501640"/>
    <x v="5"/>
    <x v="3"/>
    <n v="29.4"/>
    <n v="205.79999999999998"/>
    <d v="2025-03-02T00:00:00"/>
    <d v="2025-03-02T00:00:00"/>
    <s v="M"/>
    <x v="3"/>
    <x v="2"/>
    <x v="0"/>
    <x v="21"/>
    <x v="7"/>
    <x v="9"/>
    <x v="1"/>
  </r>
  <r>
    <s v="TX501641"/>
    <x v="15"/>
    <x v="1"/>
    <n v="32.299999999999997"/>
    <n v="64.599999999999994"/>
    <d v="2025-03-02T00:00:00"/>
    <d v="2025-03-03T00:00:00"/>
    <s v="M"/>
    <x v="0"/>
    <x v="2"/>
    <x v="0"/>
    <x v="21"/>
    <x v="3"/>
    <x v="9"/>
    <x v="1"/>
  </r>
  <r>
    <s v="TX501642"/>
    <x v="6"/>
    <x v="0"/>
    <n v="42.2"/>
    <n v="42.2"/>
    <d v="2025-03-03T00:00:00"/>
    <d v="2025-03-05T00:00:00"/>
    <s v="F"/>
    <x v="0"/>
    <x v="2"/>
    <x v="0"/>
    <x v="21"/>
    <x v="1"/>
    <x v="9"/>
    <x v="2"/>
  </r>
  <r>
    <s v="TX501643"/>
    <x v="6"/>
    <x v="0"/>
    <n v="53.7"/>
    <n v="53.7"/>
    <d v="2025-03-03T00:00:00"/>
    <d v="2025-03-05T00:00:00"/>
    <s v="M"/>
    <x v="1"/>
    <x v="1"/>
    <x v="0"/>
    <x v="1"/>
    <x v="1"/>
    <x v="9"/>
    <x v="1"/>
  </r>
  <r>
    <s v="TX501644"/>
    <x v="2"/>
    <x v="1"/>
    <n v="123.9"/>
    <n v="247.8"/>
    <d v="2025-03-03T00:00:00"/>
    <d v="2025-03-06T00:00:00"/>
    <s v="M"/>
    <x v="2"/>
    <x v="0"/>
    <x v="0"/>
    <x v="1"/>
    <x v="2"/>
    <x v="9"/>
    <x v="1"/>
  </r>
  <r>
    <s v="TX501645"/>
    <x v="4"/>
    <x v="2"/>
    <n v="35.9"/>
    <n v="107.69999999999999"/>
    <d v="2025-03-03T00:00:00"/>
    <d v="2025-03-05T00:00:00"/>
    <s v="M"/>
    <x v="2"/>
    <x v="0"/>
    <x v="0"/>
    <x v="22"/>
    <x v="1"/>
    <x v="9"/>
    <x v="1"/>
  </r>
  <r>
    <s v="TX501646"/>
    <x v="4"/>
    <x v="1"/>
    <n v="23.6"/>
    <n v="47.2"/>
    <d v="2025-03-03T00:00:00"/>
    <d v="2025-03-06T00:00:00"/>
    <s v="M"/>
    <x v="0"/>
    <x v="2"/>
    <x v="0"/>
    <x v="3"/>
    <x v="2"/>
    <x v="9"/>
    <x v="1"/>
  </r>
  <r>
    <s v="TX501647"/>
    <x v="15"/>
    <x v="36"/>
    <n v="45.7"/>
    <n v="1599.5"/>
    <d v="2025-03-03T00:00:00"/>
    <d v="2025-03-04T00:00:00"/>
    <s v="M"/>
    <x v="0"/>
    <x v="1"/>
    <x v="0"/>
    <x v="3"/>
    <x v="3"/>
    <x v="9"/>
    <x v="1"/>
  </r>
  <r>
    <s v="TX501648"/>
    <x v="6"/>
    <x v="5"/>
    <n v="118.3"/>
    <n v="1301.3"/>
    <d v="2025-03-03T00:00:00"/>
    <d v="2025-03-05T00:00:00"/>
    <s v="M"/>
    <x v="4"/>
    <x v="2"/>
    <x v="0"/>
    <x v="3"/>
    <x v="1"/>
    <x v="9"/>
    <x v="1"/>
  </r>
  <r>
    <s v="TX501649"/>
    <x v="19"/>
    <x v="0"/>
    <n v="36"/>
    <n v="36"/>
    <d v="2025-03-03T00:00:00"/>
    <d v="2025-03-04T00:00:00"/>
    <s v="F"/>
    <x v="0"/>
    <x v="1"/>
    <x v="0"/>
    <x v="3"/>
    <x v="3"/>
    <x v="9"/>
    <x v="2"/>
  </r>
  <r>
    <s v="TX501650"/>
    <x v="8"/>
    <x v="1"/>
    <n v="37.1"/>
    <n v="74.2"/>
    <d v="2025-03-03T00:00:00"/>
    <d v="2025-03-06T00:00:00"/>
    <s v="F"/>
    <x v="2"/>
    <x v="0"/>
    <x v="0"/>
    <x v="3"/>
    <x v="2"/>
    <x v="9"/>
    <x v="2"/>
  </r>
  <r>
    <s v="TX501651"/>
    <x v="18"/>
    <x v="2"/>
    <n v="45.1"/>
    <n v="135.30000000000001"/>
    <d v="2025-03-03T00:00:00"/>
    <d v="2025-03-05T00:00:00"/>
    <s v="F"/>
    <x v="1"/>
    <x v="2"/>
    <x v="0"/>
    <x v="3"/>
    <x v="1"/>
    <x v="9"/>
    <x v="2"/>
  </r>
  <r>
    <s v="TX501652"/>
    <x v="5"/>
    <x v="27"/>
    <n v="37.9"/>
    <n v="606.4"/>
    <d v="2025-03-03T00:00:00"/>
    <d v="2025-03-04T00:00:00"/>
    <s v="F"/>
    <x v="3"/>
    <x v="2"/>
    <x v="0"/>
    <x v="3"/>
    <x v="3"/>
    <x v="9"/>
    <x v="2"/>
  </r>
  <r>
    <s v="TX501653"/>
    <x v="2"/>
    <x v="1"/>
    <n v="121.6"/>
    <n v="243.2"/>
    <d v="2025-03-03T00:00:00"/>
    <d v="2025-03-06T00:00:00"/>
    <s v="M"/>
    <x v="3"/>
    <x v="2"/>
    <x v="0"/>
    <x v="3"/>
    <x v="2"/>
    <x v="9"/>
    <x v="1"/>
  </r>
  <r>
    <s v="TX501654"/>
    <x v="5"/>
    <x v="3"/>
    <n v="38.200000000000003"/>
    <n v="267.40000000000003"/>
    <d v="2025-03-03T00:00:00"/>
    <d v="2025-03-06T00:00:00"/>
    <s v="F"/>
    <x v="0"/>
    <x v="0"/>
    <x v="0"/>
    <x v="3"/>
    <x v="2"/>
    <x v="9"/>
    <x v="2"/>
  </r>
  <r>
    <s v="TX501655"/>
    <x v="17"/>
    <x v="1"/>
    <n v="37.200000000000003"/>
    <n v="74.400000000000006"/>
    <d v="2025-03-03T00:00:00"/>
    <d v="2025-03-06T00:00:00"/>
    <s v="M"/>
    <x v="4"/>
    <x v="0"/>
    <x v="0"/>
    <x v="3"/>
    <x v="2"/>
    <x v="9"/>
    <x v="1"/>
  </r>
  <r>
    <s v="TX501656"/>
    <x v="2"/>
    <x v="12"/>
    <n v="115.7"/>
    <n v="462.8"/>
    <d v="2025-03-03T00:00:00"/>
    <d v="2025-03-06T00:00:00"/>
    <s v="F"/>
    <x v="1"/>
    <x v="0"/>
    <x v="0"/>
    <x v="3"/>
    <x v="2"/>
    <x v="9"/>
    <x v="2"/>
  </r>
  <r>
    <s v="TX501657"/>
    <x v="2"/>
    <x v="13"/>
    <n v="99.4"/>
    <n v="596.40000000000009"/>
    <d v="2025-03-03T00:00:00"/>
    <d v="2025-03-06T00:00:00"/>
    <s v="M"/>
    <x v="0"/>
    <x v="2"/>
    <x v="0"/>
    <x v="3"/>
    <x v="2"/>
    <x v="9"/>
    <x v="1"/>
  </r>
  <r>
    <s v="TX501658"/>
    <x v="11"/>
    <x v="0"/>
    <n v="38.700000000000003"/>
    <n v="38.700000000000003"/>
    <d v="2025-03-03T00:00:00"/>
    <d v="2025-03-04T00:00:00"/>
    <s v="F"/>
    <x v="2"/>
    <x v="0"/>
    <x v="0"/>
    <x v="25"/>
    <x v="3"/>
    <x v="9"/>
    <x v="2"/>
  </r>
  <r>
    <s v="TX501659"/>
    <x v="4"/>
    <x v="1"/>
    <n v="35.5"/>
    <n v="71"/>
    <d v="2025-03-03T00:00:00"/>
    <d v="2025-03-06T00:00:00"/>
    <s v="M"/>
    <x v="0"/>
    <x v="2"/>
    <x v="0"/>
    <x v="25"/>
    <x v="2"/>
    <x v="9"/>
    <x v="1"/>
  </r>
  <r>
    <s v="TX501660"/>
    <x v="2"/>
    <x v="12"/>
    <n v="93.3"/>
    <n v="373.2"/>
    <d v="2025-03-03T00:00:00"/>
    <d v="2025-03-06T00:00:00"/>
    <s v="F"/>
    <x v="0"/>
    <x v="2"/>
    <x v="0"/>
    <x v="6"/>
    <x v="2"/>
    <x v="9"/>
    <x v="2"/>
  </r>
  <r>
    <s v="TX501661"/>
    <x v="16"/>
    <x v="0"/>
    <n v="31.4"/>
    <n v="31.4"/>
    <d v="2025-03-03T00:00:00"/>
    <d v="2025-03-08T00:00:00"/>
    <s v="F"/>
    <x v="2"/>
    <x v="2"/>
    <x v="0"/>
    <x v="6"/>
    <x v="0"/>
    <x v="9"/>
    <x v="2"/>
  </r>
  <r>
    <s v="TX501662"/>
    <x v="1"/>
    <x v="0"/>
    <n v="85.9"/>
    <n v="85.9"/>
    <d v="2025-03-03T00:00:00"/>
    <d v="2025-03-06T00:00:00"/>
    <s v="M"/>
    <x v="1"/>
    <x v="0"/>
    <x v="0"/>
    <x v="6"/>
    <x v="2"/>
    <x v="9"/>
    <x v="1"/>
  </r>
  <r>
    <s v="TX501663"/>
    <x v="6"/>
    <x v="8"/>
    <n v="41.7"/>
    <n v="333.6"/>
    <d v="2025-03-03T00:00:00"/>
    <d v="2025-03-11T00:00:00"/>
    <s v="M"/>
    <x v="0"/>
    <x v="2"/>
    <x v="0"/>
    <x v="7"/>
    <x v="9"/>
    <x v="9"/>
    <x v="1"/>
  </r>
  <r>
    <s v="TX501664"/>
    <x v="8"/>
    <x v="12"/>
    <n v="31.5"/>
    <n v="126"/>
    <d v="2025-03-03T00:00:00"/>
    <d v="2025-03-04T00:00:00"/>
    <s v="F"/>
    <x v="0"/>
    <x v="0"/>
    <x v="0"/>
    <x v="7"/>
    <x v="3"/>
    <x v="9"/>
    <x v="2"/>
  </r>
  <r>
    <s v="TX501665"/>
    <x v="8"/>
    <x v="1"/>
    <n v="36.299999999999997"/>
    <n v="72.599999999999994"/>
    <d v="2025-03-03T00:00:00"/>
    <d v="2025-03-04T00:00:00"/>
    <s v="F"/>
    <x v="0"/>
    <x v="4"/>
    <x v="0"/>
    <x v="8"/>
    <x v="3"/>
    <x v="9"/>
    <x v="2"/>
  </r>
  <r>
    <s v="TX501666"/>
    <x v="8"/>
    <x v="2"/>
    <n v="33.4"/>
    <n v="100.19999999999999"/>
    <d v="2025-03-03T00:00:00"/>
    <d v="2025-03-04T00:00:00"/>
    <s v="F"/>
    <x v="3"/>
    <x v="0"/>
    <x v="0"/>
    <x v="17"/>
    <x v="3"/>
    <x v="9"/>
    <x v="2"/>
  </r>
  <r>
    <s v="TX501667"/>
    <x v="2"/>
    <x v="2"/>
    <n v="65.2"/>
    <n v="195.60000000000002"/>
    <d v="2025-03-03T00:00:00"/>
    <d v="2025-03-04T00:00:00"/>
    <s v="F"/>
    <x v="2"/>
    <x v="2"/>
    <x v="0"/>
    <x v="26"/>
    <x v="3"/>
    <x v="9"/>
    <x v="2"/>
  </r>
  <r>
    <s v="TX501668"/>
    <x v="8"/>
    <x v="11"/>
    <n v="65.5"/>
    <n v="589.5"/>
    <d v="2025-03-03T00:00:00"/>
    <d v="2025-03-06T00:00:00"/>
    <s v="F"/>
    <x v="0"/>
    <x v="2"/>
    <x v="0"/>
    <x v="9"/>
    <x v="2"/>
    <x v="9"/>
    <x v="2"/>
  </r>
  <r>
    <s v="TX501669"/>
    <x v="6"/>
    <x v="2"/>
    <n v="52.8"/>
    <n v="158.39999999999998"/>
    <d v="2025-03-03T00:00:00"/>
    <d v="2025-03-06T00:00:00"/>
    <s v="M"/>
    <x v="2"/>
    <x v="0"/>
    <x v="0"/>
    <x v="9"/>
    <x v="2"/>
    <x v="9"/>
    <x v="1"/>
  </r>
  <r>
    <s v="TX501670"/>
    <x v="9"/>
    <x v="9"/>
    <n v="24"/>
    <n v="120"/>
    <d v="2025-03-03T00:00:00"/>
    <d v="2025-03-07T00:00:00"/>
    <s v="M"/>
    <x v="0"/>
    <x v="1"/>
    <x v="0"/>
    <x v="11"/>
    <x v="5"/>
    <x v="9"/>
    <x v="1"/>
  </r>
  <r>
    <s v="TX501671"/>
    <x v="3"/>
    <x v="2"/>
    <n v="51.2"/>
    <n v="153.60000000000002"/>
    <d v="2025-03-03T00:00:00"/>
    <d v="2025-03-04T00:00:00"/>
    <s v="F"/>
    <x v="0"/>
    <x v="0"/>
    <x v="0"/>
    <x v="32"/>
    <x v="3"/>
    <x v="9"/>
    <x v="2"/>
  </r>
  <r>
    <s v="TX501672"/>
    <x v="5"/>
    <x v="2"/>
    <n v="28.3"/>
    <n v="84.9"/>
    <d v="2025-03-03T00:00:00"/>
    <d v="2025-03-05T00:00:00"/>
    <s v="M"/>
    <x v="4"/>
    <x v="0"/>
    <x v="0"/>
    <x v="19"/>
    <x v="1"/>
    <x v="9"/>
    <x v="1"/>
  </r>
  <r>
    <s v="TX501673"/>
    <x v="6"/>
    <x v="2"/>
    <n v="42.3"/>
    <n v="126.89999999999999"/>
    <d v="2025-03-03T00:00:00"/>
    <d v="2025-03-03T00:00:00"/>
    <s v="F"/>
    <x v="2"/>
    <x v="1"/>
    <x v="0"/>
    <x v="19"/>
    <x v="7"/>
    <x v="9"/>
    <x v="2"/>
  </r>
  <r>
    <s v="TX501674"/>
    <x v="2"/>
    <x v="8"/>
    <n v="163.30000000000001"/>
    <n v="1306.4000000000001"/>
    <d v="2025-03-04T00:00:00"/>
    <d v="2025-03-05T00:00:00"/>
    <s v="F"/>
    <x v="1"/>
    <x v="0"/>
    <x v="0"/>
    <x v="13"/>
    <x v="3"/>
    <x v="9"/>
    <x v="2"/>
  </r>
  <r>
    <s v="TX501675"/>
    <x v="6"/>
    <x v="3"/>
    <n v="47.3"/>
    <n v="331.09999999999997"/>
    <d v="2025-03-04T00:00:00"/>
    <d v="2025-03-07T00:00:00"/>
    <s v="F"/>
    <x v="4"/>
    <x v="1"/>
    <x v="0"/>
    <x v="21"/>
    <x v="2"/>
    <x v="9"/>
    <x v="2"/>
  </r>
  <r>
    <s v="TX501676"/>
    <x v="8"/>
    <x v="27"/>
    <n v="27.3"/>
    <n v="436.8"/>
    <d v="2025-03-04T00:00:00"/>
    <d v="2025-03-05T00:00:00"/>
    <s v="F"/>
    <x v="2"/>
    <x v="0"/>
    <x v="0"/>
    <x v="21"/>
    <x v="3"/>
    <x v="9"/>
    <x v="2"/>
  </r>
  <r>
    <s v="TX501677"/>
    <x v="10"/>
    <x v="13"/>
    <n v="34.9"/>
    <n v="209.39999999999998"/>
    <d v="2025-03-04T00:00:00"/>
    <d v="2025-03-15T00:00:00"/>
    <s v="F"/>
    <x v="0"/>
    <x v="0"/>
    <x v="0"/>
    <x v="21"/>
    <x v="11"/>
    <x v="9"/>
    <x v="2"/>
  </r>
  <r>
    <s v="TX501678"/>
    <x v="6"/>
    <x v="1"/>
    <n v="53.9"/>
    <n v="107.8"/>
    <d v="2025-03-04T00:00:00"/>
    <d v="2025-03-07T00:00:00"/>
    <s v="O"/>
    <x v="0"/>
    <x v="4"/>
    <x v="0"/>
    <x v="1"/>
    <x v="2"/>
    <x v="9"/>
    <x v="3"/>
  </r>
  <r>
    <s v="TX501679"/>
    <x v="2"/>
    <x v="1"/>
    <n v="87.2"/>
    <n v="174.4"/>
    <d v="2025-03-04T00:00:00"/>
    <d v="2025-03-05T00:00:00"/>
    <s v="F"/>
    <x v="0"/>
    <x v="1"/>
    <x v="0"/>
    <x v="1"/>
    <x v="3"/>
    <x v="9"/>
    <x v="2"/>
  </r>
  <r>
    <s v="TX501680"/>
    <x v="15"/>
    <x v="0"/>
    <n v="58.8"/>
    <n v="58.8"/>
    <d v="2025-03-04T00:00:00"/>
    <d v="2025-03-06T00:00:00"/>
    <s v="F"/>
    <x v="2"/>
    <x v="0"/>
    <x v="0"/>
    <x v="44"/>
    <x v="1"/>
    <x v="9"/>
    <x v="2"/>
  </r>
  <r>
    <s v="TX501681"/>
    <x v="2"/>
    <x v="3"/>
    <n v="125.5"/>
    <n v="878.5"/>
    <d v="2025-03-04T00:00:00"/>
    <d v="2025-03-05T00:00:00"/>
    <s v="M"/>
    <x v="2"/>
    <x v="4"/>
    <x v="0"/>
    <x v="22"/>
    <x v="3"/>
    <x v="9"/>
    <x v="1"/>
  </r>
  <r>
    <s v="TX501682"/>
    <x v="1"/>
    <x v="12"/>
    <n v="124.6"/>
    <n v="498.4"/>
    <d v="2025-03-04T00:00:00"/>
    <d v="2025-03-06T00:00:00"/>
    <s v="F"/>
    <x v="0"/>
    <x v="1"/>
    <x v="0"/>
    <x v="22"/>
    <x v="1"/>
    <x v="9"/>
    <x v="2"/>
  </r>
  <r>
    <s v="TX501683"/>
    <x v="1"/>
    <x v="3"/>
    <n v="39.9"/>
    <n v="279.3"/>
    <d v="2025-03-04T00:00:00"/>
    <d v="2025-03-05T00:00:00"/>
    <s v="M"/>
    <x v="2"/>
    <x v="1"/>
    <x v="0"/>
    <x v="3"/>
    <x v="3"/>
    <x v="9"/>
    <x v="1"/>
  </r>
  <r>
    <s v="TX501684"/>
    <x v="6"/>
    <x v="0"/>
    <n v="94.6"/>
    <n v="94.6"/>
    <d v="2025-03-04T00:00:00"/>
    <d v="2025-03-18T00:00:00"/>
    <s v="F"/>
    <x v="0"/>
    <x v="1"/>
    <x v="0"/>
    <x v="3"/>
    <x v="12"/>
    <x v="9"/>
    <x v="2"/>
  </r>
  <r>
    <s v="TX501685"/>
    <x v="2"/>
    <x v="1"/>
    <n v="149.6"/>
    <n v="299.2"/>
    <d v="2025-03-04T00:00:00"/>
    <d v="2025-03-05T00:00:00"/>
    <s v="F"/>
    <x v="0"/>
    <x v="0"/>
    <x v="0"/>
    <x v="3"/>
    <x v="3"/>
    <x v="9"/>
    <x v="2"/>
  </r>
  <r>
    <s v="TX501686"/>
    <x v="8"/>
    <x v="0"/>
    <n v="52.2"/>
    <n v="52.2"/>
    <d v="2025-03-04T00:00:00"/>
    <d v="2025-03-05T00:00:00"/>
    <s v=""/>
    <x v="1"/>
    <x v="0"/>
    <x v="0"/>
    <x v="3"/>
    <x v="3"/>
    <x v="9"/>
    <x v="0"/>
  </r>
  <r>
    <s v="TX501687"/>
    <x v="6"/>
    <x v="1"/>
    <n v="96.5"/>
    <n v="193"/>
    <d v="2025-03-04T00:00:00"/>
    <d v="2025-03-05T00:00:00"/>
    <s v="F"/>
    <x v="1"/>
    <x v="1"/>
    <x v="0"/>
    <x v="3"/>
    <x v="3"/>
    <x v="9"/>
    <x v="2"/>
  </r>
  <r>
    <s v="TX501688"/>
    <x v="8"/>
    <x v="1"/>
    <n v="79.8"/>
    <n v="159.6"/>
    <d v="2025-03-04T00:00:00"/>
    <d v="2025-03-06T00:00:00"/>
    <s v="F"/>
    <x v="0"/>
    <x v="1"/>
    <x v="0"/>
    <x v="3"/>
    <x v="1"/>
    <x v="9"/>
    <x v="2"/>
  </r>
  <r>
    <s v="TX501689"/>
    <x v="8"/>
    <x v="2"/>
    <n v="35.6"/>
    <n v="106.80000000000001"/>
    <d v="2025-03-04T00:00:00"/>
    <d v="2025-03-05T00:00:00"/>
    <s v="F"/>
    <x v="2"/>
    <x v="0"/>
    <x v="0"/>
    <x v="3"/>
    <x v="3"/>
    <x v="9"/>
    <x v="2"/>
  </r>
  <r>
    <s v="TX501690"/>
    <x v="16"/>
    <x v="0"/>
    <n v="50.2"/>
    <n v="50.2"/>
    <d v="2025-03-04T00:00:00"/>
    <d v="2025-03-05T00:00:00"/>
    <s v="F"/>
    <x v="1"/>
    <x v="2"/>
    <x v="0"/>
    <x v="3"/>
    <x v="3"/>
    <x v="9"/>
    <x v="2"/>
  </r>
  <r>
    <s v="TX501691"/>
    <x v="1"/>
    <x v="2"/>
    <n v="55.3"/>
    <n v="165.89999999999998"/>
    <d v="2025-03-04T00:00:00"/>
    <d v="2025-03-07T00:00:00"/>
    <s v="F"/>
    <x v="0"/>
    <x v="4"/>
    <x v="0"/>
    <x v="40"/>
    <x v="2"/>
    <x v="9"/>
    <x v="2"/>
  </r>
  <r>
    <s v="TX501692"/>
    <x v="6"/>
    <x v="3"/>
    <n v="104.5"/>
    <n v="731.5"/>
    <d v="2025-03-04T00:00:00"/>
    <d v="2025-03-08T00:00:00"/>
    <s v="F"/>
    <x v="1"/>
    <x v="0"/>
    <x v="0"/>
    <x v="7"/>
    <x v="5"/>
    <x v="9"/>
    <x v="2"/>
  </r>
  <r>
    <s v="TX501693"/>
    <x v="6"/>
    <x v="12"/>
    <n v="66.5"/>
    <n v="266"/>
    <d v="2025-03-04T00:00:00"/>
    <d v="2025-03-06T00:00:00"/>
    <s v="M"/>
    <x v="1"/>
    <x v="0"/>
    <x v="0"/>
    <x v="7"/>
    <x v="1"/>
    <x v="9"/>
    <x v="1"/>
  </r>
  <r>
    <s v="TX501694"/>
    <x v="10"/>
    <x v="8"/>
    <n v="38.299999999999997"/>
    <n v="306.39999999999998"/>
    <d v="2025-03-04T00:00:00"/>
    <d v="2025-03-05T00:00:00"/>
    <s v="F"/>
    <x v="0"/>
    <x v="0"/>
    <x v="0"/>
    <x v="7"/>
    <x v="3"/>
    <x v="9"/>
    <x v="2"/>
  </r>
  <r>
    <s v="TX501695"/>
    <x v="6"/>
    <x v="2"/>
    <n v="63.8"/>
    <n v="191.39999999999998"/>
    <d v="2025-03-04T00:00:00"/>
    <d v="2025-03-07T00:00:00"/>
    <s v="F"/>
    <x v="1"/>
    <x v="0"/>
    <x v="0"/>
    <x v="8"/>
    <x v="2"/>
    <x v="9"/>
    <x v="2"/>
  </r>
  <r>
    <s v="TX501696"/>
    <x v="15"/>
    <x v="0"/>
    <n v="21.4"/>
    <n v="21.4"/>
    <d v="2025-03-04T00:00:00"/>
    <d v="2025-03-04T00:00:00"/>
    <s v="M"/>
    <x v="4"/>
    <x v="0"/>
    <x v="0"/>
    <x v="8"/>
    <x v="7"/>
    <x v="9"/>
    <x v="1"/>
  </r>
  <r>
    <s v="TX501697"/>
    <x v="8"/>
    <x v="12"/>
    <n v="44.1"/>
    <n v="176.4"/>
    <d v="2025-03-04T00:00:00"/>
    <d v="2025-03-06T00:00:00"/>
    <s v="F"/>
    <x v="2"/>
    <x v="0"/>
    <x v="0"/>
    <x v="8"/>
    <x v="1"/>
    <x v="9"/>
    <x v="2"/>
  </r>
  <r>
    <s v="TX501698"/>
    <x v="5"/>
    <x v="8"/>
    <n v="57.6"/>
    <n v="460.8"/>
    <d v="2025-03-04T00:00:00"/>
    <d v="2025-03-06T00:00:00"/>
    <s v="M"/>
    <x v="1"/>
    <x v="2"/>
    <x v="0"/>
    <x v="8"/>
    <x v="1"/>
    <x v="9"/>
    <x v="1"/>
  </r>
  <r>
    <s v="TX501699"/>
    <x v="9"/>
    <x v="1"/>
    <n v="20.3"/>
    <n v="40.6"/>
    <d v="2025-03-04T00:00:00"/>
    <d v="2025-03-10T00:00:00"/>
    <s v="F"/>
    <x v="3"/>
    <x v="0"/>
    <x v="0"/>
    <x v="8"/>
    <x v="4"/>
    <x v="9"/>
    <x v="2"/>
  </r>
  <r>
    <s v="TX501700"/>
    <x v="8"/>
    <x v="0"/>
    <n v="22.9"/>
    <n v="22.9"/>
    <d v="2025-03-04T00:00:00"/>
    <d v="2025-03-06T00:00:00"/>
    <s v="F"/>
    <x v="2"/>
    <x v="2"/>
    <x v="0"/>
    <x v="8"/>
    <x v="1"/>
    <x v="9"/>
    <x v="2"/>
  </r>
  <r>
    <s v="TX501701"/>
    <x v="6"/>
    <x v="12"/>
    <n v="105.9"/>
    <n v="423.6"/>
    <d v="2025-03-04T00:00:00"/>
    <d v="2025-03-05T00:00:00"/>
    <s v="F"/>
    <x v="1"/>
    <x v="2"/>
    <x v="0"/>
    <x v="17"/>
    <x v="3"/>
    <x v="9"/>
    <x v="2"/>
  </r>
  <r>
    <s v="TX501702"/>
    <x v="1"/>
    <x v="11"/>
    <n v="37.4"/>
    <n v="336.59999999999997"/>
    <d v="2025-03-04T00:00:00"/>
    <d v="2025-03-08T00:00:00"/>
    <s v="M"/>
    <x v="1"/>
    <x v="0"/>
    <x v="0"/>
    <x v="11"/>
    <x v="5"/>
    <x v="9"/>
    <x v="1"/>
  </r>
  <r>
    <s v="TX501703"/>
    <x v="18"/>
    <x v="1"/>
    <n v="79"/>
    <n v="158"/>
    <d v="2025-03-04T00:00:00"/>
    <d v="2025-03-05T00:00:00"/>
    <s v="M"/>
    <x v="2"/>
    <x v="0"/>
    <x v="0"/>
    <x v="28"/>
    <x v="3"/>
    <x v="9"/>
    <x v="1"/>
  </r>
  <r>
    <s v="TX501704"/>
    <x v="0"/>
    <x v="2"/>
    <n v="19.3"/>
    <n v="57.900000000000006"/>
    <d v="2025-03-04T00:00:00"/>
    <d v="2025-03-05T00:00:00"/>
    <s v="F"/>
    <x v="4"/>
    <x v="0"/>
    <x v="0"/>
    <x v="21"/>
    <x v="3"/>
    <x v="9"/>
    <x v="2"/>
  </r>
  <r>
    <s v="TX501705"/>
    <x v="0"/>
    <x v="0"/>
    <n v="24"/>
    <n v="24"/>
    <d v="2025-03-04T00:00:00"/>
    <d v="2025-03-05T00:00:00"/>
    <s v="F"/>
    <x v="1"/>
    <x v="0"/>
    <x v="0"/>
    <x v="1"/>
    <x v="3"/>
    <x v="9"/>
    <x v="2"/>
  </r>
  <r>
    <s v="TX501706"/>
    <x v="6"/>
    <x v="9"/>
    <n v="71.3"/>
    <n v="356.5"/>
    <d v="2025-03-04T00:00:00"/>
    <d v="2025-03-07T00:00:00"/>
    <s v="F"/>
    <x v="2"/>
    <x v="0"/>
    <x v="0"/>
    <x v="2"/>
    <x v="2"/>
    <x v="9"/>
    <x v="2"/>
  </r>
  <r>
    <s v="TX501707"/>
    <x v="5"/>
    <x v="1"/>
    <n v="166.2"/>
    <n v="332.4"/>
    <d v="2025-03-04T00:00:00"/>
    <d v="2025-03-05T00:00:00"/>
    <s v="M"/>
    <x v="0"/>
    <x v="2"/>
    <x v="0"/>
    <x v="50"/>
    <x v="3"/>
    <x v="9"/>
    <x v="1"/>
  </r>
  <r>
    <s v="TX501708"/>
    <x v="6"/>
    <x v="0"/>
    <n v="81"/>
    <n v="81"/>
    <d v="2025-03-04T00:00:00"/>
    <d v="2025-03-05T00:00:00"/>
    <s v="F"/>
    <x v="2"/>
    <x v="1"/>
    <x v="0"/>
    <x v="3"/>
    <x v="3"/>
    <x v="9"/>
    <x v="2"/>
  </r>
  <r>
    <s v="TX501709"/>
    <x v="10"/>
    <x v="13"/>
    <n v="38.5"/>
    <n v="231"/>
    <d v="2025-03-04T00:00:00"/>
    <d v="2025-03-08T00:00:00"/>
    <s v="F"/>
    <x v="0"/>
    <x v="0"/>
    <x v="0"/>
    <x v="3"/>
    <x v="5"/>
    <x v="9"/>
    <x v="2"/>
  </r>
  <r>
    <s v="TX501710"/>
    <x v="6"/>
    <x v="0"/>
    <n v="86.1"/>
    <n v="86.1"/>
    <d v="2025-03-04T00:00:00"/>
    <d v="2025-03-06T00:00:00"/>
    <s v="F"/>
    <x v="3"/>
    <x v="0"/>
    <x v="0"/>
    <x v="3"/>
    <x v="1"/>
    <x v="9"/>
    <x v="2"/>
  </r>
  <r>
    <s v="TX501711"/>
    <x v="2"/>
    <x v="9"/>
    <n v="51"/>
    <n v="255"/>
    <d v="2025-03-04T00:00:00"/>
    <d v="2025-03-05T00:00:00"/>
    <s v="M"/>
    <x v="0"/>
    <x v="1"/>
    <x v="0"/>
    <x v="3"/>
    <x v="3"/>
    <x v="9"/>
    <x v="1"/>
  </r>
  <r>
    <s v="TX501712"/>
    <x v="3"/>
    <x v="9"/>
    <n v="115.4"/>
    <n v="577"/>
    <d v="2025-03-04T00:00:00"/>
    <d v="2025-03-05T00:00:00"/>
    <s v="M"/>
    <x v="0"/>
    <x v="0"/>
    <x v="0"/>
    <x v="3"/>
    <x v="3"/>
    <x v="9"/>
    <x v="1"/>
  </r>
  <r>
    <s v="TX501713"/>
    <x v="6"/>
    <x v="12"/>
    <n v="176.5"/>
    <n v="706"/>
    <d v="2025-03-04T00:00:00"/>
    <d v="2025-03-05T00:00:00"/>
    <s v="F"/>
    <x v="2"/>
    <x v="2"/>
    <x v="0"/>
    <x v="3"/>
    <x v="3"/>
    <x v="9"/>
    <x v="2"/>
  </r>
  <r>
    <s v="TX501714"/>
    <x v="7"/>
    <x v="2"/>
    <n v="48.9"/>
    <n v="146.69999999999999"/>
    <d v="2025-03-04T00:00:00"/>
    <d v="2025-03-05T00:00:00"/>
    <s v="M"/>
    <x v="4"/>
    <x v="0"/>
    <x v="0"/>
    <x v="3"/>
    <x v="3"/>
    <x v="9"/>
    <x v="1"/>
  </r>
  <r>
    <s v="TX501715"/>
    <x v="8"/>
    <x v="2"/>
    <n v="18.100000000000001"/>
    <n v="54.300000000000004"/>
    <d v="2025-03-04T00:00:00"/>
    <d v="2025-03-11T00:00:00"/>
    <s v="F"/>
    <x v="1"/>
    <x v="2"/>
    <x v="0"/>
    <x v="29"/>
    <x v="6"/>
    <x v="9"/>
    <x v="2"/>
  </r>
  <r>
    <s v="TX501716"/>
    <x v="2"/>
    <x v="1"/>
    <n v="118.5"/>
    <n v="237"/>
    <d v="2025-03-04T00:00:00"/>
    <d v="2025-03-07T00:00:00"/>
    <s v="M"/>
    <x v="1"/>
    <x v="2"/>
    <x v="0"/>
    <x v="16"/>
    <x v="2"/>
    <x v="9"/>
    <x v="1"/>
  </r>
  <r>
    <s v="TX501717"/>
    <x v="15"/>
    <x v="3"/>
    <n v="59.1"/>
    <n v="413.7"/>
    <d v="2025-03-04T00:00:00"/>
    <d v="2025-03-05T00:00:00"/>
    <s v="F"/>
    <x v="3"/>
    <x v="0"/>
    <x v="0"/>
    <x v="25"/>
    <x v="3"/>
    <x v="9"/>
    <x v="2"/>
  </r>
  <r>
    <s v="TX501718"/>
    <x v="4"/>
    <x v="0"/>
    <n v="21.2"/>
    <n v="21.2"/>
    <d v="2025-03-04T00:00:00"/>
    <d v="2025-03-05T00:00:00"/>
    <s v="F"/>
    <x v="0"/>
    <x v="1"/>
    <x v="0"/>
    <x v="6"/>
    <x v="3"/>
    <x v="9"/>
    <x v="2"/>
  </r>
  <r>
    <s v="TX501719"/>
    <x v="6"/>
    <x v="1"/>
    <n v="68.8"/>
    <n v="137.6"/>
    <d v="2025-03-04T00:00:00"/>
    <d v="2025-03-09T00:00:00"/>
    <s v="F"/>
    <x v="3"/>
    <x v="2"/>
    <x v="0"/>
    <x v="6"/>
    <x v="0"/>
    <x v="9"/>
    <x v="2"/>
  </r>
  <r>
    <s v="TX501720"/>
    <x v="6"/>
    <x v="1"/>
    <n v="65.400000000000006"/>
    <n v="130.80000000000001"/>
    <d v="2025-03-04T00:00:00"/>
    <d v="2025-03-08T00:00:00"/>
    <s v="F"/>
    <x v="0"/>
    <x v="0"/>
    <x v="0"/>
    <x v="6"/>
    <x v="5"/>
    <x v="9"/>
    <x v="2"/>
  </r>
  <r>
    <s v="TX501721"/>
    <x v="12"/>
    <x v="9"/>
    <n v="66.3"/>
    <n v="331.5"/>
    <d v="2025-03-05T00:00:00"/>
    <d v="2025-03-08T00:00:00"/>
    <s v="F"/>
    <x v="4"/>
    <x v="0"/>
    <x v="0"/>
    <x v="6"/>
    <x v="2"/>
    <x v="9"/>
    <x v="2"/>
  </r>
  <r>
    <s v="TX501722"/>
    <x v="6"/>
    <x v="2"/>
    <n v="97.5"/>
    <n v="292.5"/>
    <d v="2025-03-05T00:00:00"/>
    <d v="2025-03-05T00:00:00"/>
    <s v="M"/>
    <x v="3"/>
    <x v="0"/>
    <x v="0"/>
    <x v="8"/>
    <x v="7"/>
    <x v="9"/>
    <x v="1"/>
  </r>
  <r>
    <s v="TX501723"/>
    <x v="1"/>
    <x v="1"/>
    <n v="44"/>
    <n v="88"/>
    <d v="2025-03-05T00:00:00"/>
    <d v="2025-03-08T00:00:00"/>
    <s v="F"/>
    <x v="1"/>
    <x v="2"/>
    <x v="0"/>
    <x v="8"/>
    <x v="2"/>
    <x v="9"/>
    <x v="2"/>
  </r>
  <r>
    <s v="TX501724"/>
    <x v="0"/>
    <x v="0"/>
    <n v="21.9"/>
    <n v="21.9"/>
    <d v="2025-03-05T00:00:00"/>
    <d v="2025-03-06T00:00:00"/>
    <s v="M"/>
    <x v="0"/>
    <x v="0"/>
    <x v="0"/>
    <x v="8"/>
    <x v="3"/>
    <x v="9"/>
    <x v="1"/>
  </r>
  <r>
    <s v="TX501725"/>
    <x v="4"/>
    <x v="3"/>
    <n v="21.5"/>
    <n v="150.5"/>
    <d v="2025-03-05T00:00:00"/>
    <d v="2025-03-07T00:00:00"/>
    <s v="F"/>
    <x v="1"/>
    <x v="2"/>
    <x v="0"/>
    <x v="9"/>
    <x v="1"/>
    <x v="9"/>
    <x v="2"/>
  </r>
  <r>
    <s v="TX501726"/>
    <x v="12"/>
    <x v="13"/>
    <n v="133"/>
    <n v="798"/>
    <d v="2025-03-05T00:00:00"/>
    <d v="2025-03-06T00:00:00"/>
    <s v="O"/>
    <x v="0"/>
    <x v="2"/>
    <x v="0"/>
    <x v="10"/>
    <x v="3"/>
    <x v="9"/>
    <x v="3"/>
  </r>
  <r>
    <s v="TX501727"/>
    <x v="8"/>
    <x v="1"/>
    <n v="47.7"/>
    <n v="95.4"/>
    <d v="2025-03-05T00:00:00"/>
    <d v="2025-03-09T00:00:00"/>
    <s v="M"/>
    <x v="0"/>
    <x v="2"/>
    <x v="0"/>
    <x v="10"/>
    <x v="5"/>
    <x v="9"/>
    <x v="1"/>
  </r>
  <r>
    <s v="TX501728"/>
    <x v="16"/>
    <x v="2"/>
    <n v="58.1"/>
    <n v="174.3"/>
    <d v="2025-03-05T00:00:00"/>
    <d v="2025-03-06T00:00:00"/>
    <s v="F"/>
    <x v="0"/>
    <x v="0"/>
    <x v="0"/>
    <x v="11"/>
    <x v="3"/>
    <x v="9"/>
    <x v="2"/>
  </r>
  <r>
    <s v="TX501729"/>
    <x v="12"/>
    <x v="12"/>
    <n v="66.599999999999994"/>
    <n v="266.39999999999998"/>
    <d v="2025-03-05T00:00:00"/>
    <d v="2025-03-06T00:00:00"/>
    <s v=""/>
    <x v="0"/>
    <x v="0"/>
    <x v="0"/>
    <x v="11"/>
    <x v="3"/>
    <x v="9"/>
    <x v="0"/>
  </r>
  <r>
    <s v="TX501730"/>
    <x v="9"/>
    <x v="0"/>
    <n v="24.1"/>
    <n v="24.1"/>
    <d v="2025-03-05T00:00:00"/>
    <d v="2025-03-08T00:00:00"/>
    <s v="M"/>
    <x v="2"/>
    <x v="1"/>
    <x v="0"/>
    <x v="19"/>
    <x v="2"/>
    <x v="9"/>
    <x v="1"/>
  </r>
  <r>
    <s v="TX501731"/>
    <x v="10"/>
    <x v="9"/>
    <n v="51.5"/>
    <n v="257.5"/>
    <d v="2025-03-05T00:00:00"/>
    <d v="2025-03-10T00:00:00"/>
    <s v="F"/>
    <x v="0"/>
    <x v="0"/>
    <x v="0"/>
    <x v="13"/>
    <x v="0"/>
    <x v="9"/>
    <x v="2"/>
  </r>
  <r>
    <s v="TX501732"/>
    <x v="0"/>
    <x v="5"/>
    <n v="25.8"/>
    <n v="283.8"/>
    <d v="2025-03-05T00:00:00"/>
    <d v="2025-03-09T00:00:00"/>
    <s v="F"/>
    <x v="3"/>
    <x v="4"/>
    <x v="0"/>
    <x v="21"/>
    <x v="5"/>
    <x v="9"/>
    <x v="2"/>
  </r>
  <r>
    <s v="TX501733"/>
    <x v="9"/>
    <x v="12"/>
    <n v="47.7"/>
    <n v="190.8"/>
    <d v="2025-03-05T00:00:00"/>
    <d v="2025-03-05T00:00:00"/>
    <s v="F"/>
    <x v="0"/>
    <x v="1"/>
    <x v="0"/>
    <x v="21"/>
    <x v="7"/>
    <x v="9"/>
    <x v="2"/>
  </r>
  <r>
    <s v="TX501734"/>
    <x v="7"/>
    <x v="9"/>
    <n v="73.599999999999994"/>
    <n v="368"/>
    <d v="2025-03-05T00:00:00"/>
    <d v="2025-03-09T00:00:00"/>
    <s v="M"/>
    <x v="1"/>
    <x v="0"/>
    <x v="0"/>
    <x v="21"/>
    <x v="5"/>
    <x v="9"/>
    <x v="1"/>
  </r>
  <r>
    <s v="TX501735"/>
    <x v="5"/>
    <x v="3"/>
    <n v="91.2"/>
    <n v="638.4"/>
    <d v="2025-03-05T00:00:00"/>
    <d v="2025-03-06T00:00:00"/>
    <s v="M"/>
    <x v="1"/>
    <x v="2"/>
    <x v="0"/>
    <x v="21"/>
    <x v="3"/>
    <x v="9"/>
    <x v="1"/>
  </r>
  <r>
    <s v="TX501736"/>
    <x v="1"/>
    <x v="8"/>
    <n v="36.200000000000003"/>
    <n v="289.60000000000002"/>
    <d v="2025-03-05T00:00:00"/>
    <d v="2025-03-05T00:00:00"/>
    <s v="M"/>
    <x v="2"/>
    <x v="2"/>
    <x v="0"/>
    <x v="1"/>
    <x v="7"/>
    <x v="9"/>
    <x v="1"/>
  </r>
  <r>
    <s v="TX501737"/>
    <x v="9"/>
    <x v="8"/>
    <n v="98"/>
    <n v="784"/>
    <d v="2025-03-05T00:00:00"/>
    <d v="2025-03-09T00:00:00"/>
    <s v="F"/>
    <x v="2"/>
    <x v="0"/>
    <x v="0"/>
    <x v="2"/>
    <x v="5"/>
    <x v="9"/>
    <x v="2"/>
  </r>
  <r>
    <s v="TX501738"/>
    <x v="1"/>
    <x v="8"/>
    <n v="43.6"/>
    <n v="348.8"/>
    <d v="2025-03-05T00:00:00"/>
    <d v="2025-03-06T00:00:00"/>
    <s v="F"/>
    <x v="2"/>
    <x v="0"/>
    <x v="0"/>
    <x v="22"/>
    <x v="3"/>
    <x v="9"/>
    <x v="2"/>
  </r>
  <r>
    <s v="TX501739"/>
    <x v="8"/>
    <x v="7"/>
    <n v="37.799999999999997"/>
    <n v="378"/>
    <d v="2025-03-05T00:00:00"/>
    <d v="2025-03-05T00:00:00"/>
    <s v="O"/>
    <x v="0"/>
    <x v="0"/>
    <x v="0"/>
    <x v="50"/>
    <x v="7"/>
    <x v="9"/>
    <x v="3"/>
  </r>
  <r>
    <s v="TX501740"/>
    <x v="17"/>
    <x v="9"/>
    <n v="63.7"/>
    <n v="318.5"/>
    <d v="2025-03-05T00:00:00"/>
    <d v="2025-03-08T00:00:00"/>
    <s v="F"/>
    <x v="2"/>
    <x v="1"/>
    <x v="0"/>
    <x v="3"/>
    <x v="2"/>
    <x v="9"/>
    <x v="2"/>
  </r>
  <r>
    <s v="TX501741"/>
    <x v="5"/>
    <x v="11"/>
    <n v="62.9"/>
    <n v="566.1"/>
    <d v="2025-03-05T00:00:00"/>
    <d v="2025-03-10T00:00:00"/>
    <s v="M"/>
    <x v="3"/>
    <x v="2"/>
    <x v="0"/>
    <x v="3"/>
    <x v="0"/>
    <x v="9"/>
    <x v="1"/>
  </r>
  <r>
    <s v="TX501742"/>
    <x v="6"/>
    <x v="3"/>
    <n v="61.7"/>
    <n v="431.90000000000003"/>
    <d v="2025-03-05T00:00:00"/>
    <d v="2025-03-08T00:00:00"/>
    <s v="F"/>
    <x v="2"/>
    <x v="2"/>
    <x v="0"/>
    <x v="3"/>
    <x v="2"/>
    <x v="9"/>
    <x v="2"/>
  </r>
  <r>
    <s v="TX501743"/>
    <x v="18"/>
    <x v="21"/>
    <n v="36.5"/>
    <n v="511"/>
    <d v="2025-03-05T00:00:00"/>
    <d v="2025-03-06T00:00:00"/>
    <s v="M"/>
    <x v="0"/>
    <x v="2"/>
    <x v="0"/>
    <x v="3"/>
    <x v="3"/>
    <x v="9"/>
    <x v="1"/>
  </r>
  <r>
    <s v="TX501744"/>
    <x v="11"/>
    <x v="2"/>
    <n v="98.6"/>
    <n v="295.79999999999995"/>
    <d v="2025-03-05T00:00:00"/>
    <d v="2025-03-08T00:00:00"/>
    <s v="O"/>
    <x v="0"/>
    <x v="4"/>
    <x v="0"/>
    <x v="3"/>
    <x v="2"/>
    <x v="9"/>
    <x v="3"/>
  </r>
  <r>
    <s v="TX501745"/>
    <x v="8"/>
    <x v="1"/>
    <n v="19.2"/>
    <n v="38.4"/>
    <d v="2025-03-05T00:00:00"/>
    <d v="2025-03-15T00:00:00"/>
    <s v="M"/>
    <x v="0"/>
    <x v="0"/>
    <x v="0"/>
    <x v="3"/>
    <x v="14"/>
    <x v="9"/>
    <x v="1"/>
  </r>
  <r>
    <s v="TX501746"/>
    <x v="3"/>
    <x v="13"/>
    <n v="55.6"/>
    <n v="333.6"/>
    <d v="2025-03-05T00:00:00"/>
    <d v="2025-03-09T00:00:00"/>
    <s v="F"/>
    <x v="0"/>
    <x v="2"/>
    <x v="0"/>
    <x v="3"/>
    <x v="5"/>
    <x v="9"/>
    <x v="2"/>
  </r>
  <r>
    <s v="TX501747"/>
    <x v="5"/>
    <x v="13"/>
    <n v="56.4"/>
    <n v="338.4"/>
    <d v="2025-03-05T00:00:00"/>
    <d v="2025-03-06T00:00:00"/>
    <s v="F"/>
    <x v="1"/>
    <x v="0"/>
    <x v="0"/>
    <x v="3"/>
    <x v="3"/>
    <x v="9"/>
    <x v="2"/>
  </r>
  <r>
    <s v="TX501748"/>
    <x v="4"/>
    <x v="8"/>
    <n v="43.1"/>
    <n v="344.8"/>
    <d v="2025-03-05T00:00:00"/>
    <d v="2025-03-09T00:00:00"/>
    <s v="F"/>
    <x v="4"/>
    <x v="0"/>
    <x v="0"/>
    <x v="3"/>
    <x v="5"/>
    <x v="9"/>
    <x v="2"/>
  </r>
  <r>
    <s v="TX501749"/>
    <x v="1"/>
    <x v="1"/>
    <n v="77.3"/>
    <n v="154.6"/>
    <d v="2025-03-05T00:00:00"/>
    <d v="2025-03-07T00:00:00"/>
    <s v="M"/>
    <x v="0"/>
    <x v="0"/>
    <x v="0"/>
    <x v="6"/>
    <x v="1"/>
    <x v="9"/>
    <x v="1"/>
  </r>
  <r>
    <s v="TX501750"/>
    <x v="9"/>
    <x v="8"/>
    <n v="38.299999999999997"/>
    <n v="306.39999999999998"/>
    <d v="2025-03-05T00:00:00"/>
    <d v="2025-03-06T00:00:00"/>
    <s v="M"/>
    <x v="0"/>
    <x v="0"/>
    <x v="0"/>
    <x v="7"/>
    <x v="3"/>
    <x v="9"/>
    <x v="1"/>
  </r>
  <r>
    <s v="TX501751"/>
    <x v="0"/>
    <x v="3"/>
    <n v="16.8"/>
    <n v="117.60000000000001"/>
    <d v="2025-03-05T00:00:00"/>
    <d v="2025-03-08T00:00:00"/>
    <s v="M"/>
    <x v="2"/>
    <x v="1"/>
    <x v="0"/>
    <x v="8"/>
    <x v="2"/>
    <x v="9"/>
    <x v="1"/>
  </r>
  <r>
    <s v="TX501752"/>
    <x v="2"/>
    <x v="2"/>
    <n v="63.2"/>
    <n v="189.60000000000002"/>
    <d v="2025-03-05T00:00:00"/>
    <d v="2025-03-06T00:00:00"/>
    <s v="F"/>
    <x v="0"/>
    <x v="2"/>
    <x v="0"/>
    <x v="8"/>
    <x v="3"/>
    <x v="9"/>
    <x v="2"/>
  </r>
  <r>
    <s v="TX501753"/>
    <x v="14"/>
    <x v="44"/>
    <n v="39.700000000000003"/>
    <n v="913.1"/>
    <d v="2025-03-05T00:00:00"/>
    <d v="2025-03-06T00:00:00"/>
    <s v="M"/>
    <x v="0"/>
    <x v="0"/>
    <x v="0"/>
    <x v="8"/>
    <x v="3"/>
    <x v="9"/>
    <x v="1"/>
  </r>
  <r>
    <s v="TX501754"/>
    <x v="10"/>
    <x v="2"/>
    <n v="45.8"/>
    <n v="137.39999999999998"/>
    <d v="2025-03-05T00:00:00"/>
    <d v="2025-03-06T00:00:00"/>
    <s v="F"/>
    <x v="1"/>
    <x v="2"/>
    <x v="0"/>
    <x v="8"/>
    <x v="3"/>
    <x v="9"/>
    <x v="2"/>
  </r>
  <r>
    <s v="TX501755"/>
    <x v="0"/>
    <x v="13"/>
    <n v="12.4"/>
    <n v="74.400000000000006"/>
    <d v="2025-03-05T00:00:00"/>
    <d v="2025-03-08T00:00:00"/>
    <s v="M"/>
    <x v="0"/>
    <x v="0"/>
    <x v="0"/>
    <x v="8"/>
    <x v="2"/>
    <x v="9"/>
    <x v="1"/>
  </r>
  <r>
    <s v="TX501756"/>
    <x v="14"/>
    <x v="2"/>
    <n v="50.8"/>
    <n v="152.39999999999998"/>
    <d v="2025-03-06T00:00:00"/>
    <d v="2025-03-06T00:00:00"/>
    <s v="F"/>
    <x v="4"/>
    <x v="0"/>
    <x v="0"/>
    <x v="17"/>
    <x v="7"/>
    <x v="9"/>
    <x v="2"/>
  </r>
  <r>
    <s v="TX501757"/>
    <x v="9"/>
    <x v="0"/>
    <n v="76"/>
    <n v="76"/>
    <d v="2025-03-06T00:00:00"/>
    <d v="2025-03-10T00:00:00"/>
    <s v="O"/>
    <x v="2"/>
    <x v="2"/>
    <x v="0"/>
    <x v="17"/>
    <x v="5"/>
    <x v="9"/>
    <x v="3"/>
  </r>
  <r>
    <s v="TX501758"/>
    <x v="1"/>
    <x v="1"/>
    <n v="51.9"/>
    <n v="103.8"/>
    <d v="2025-03-06T00:00:00"/>
    <d v="2025-03-07T00:00:00"/>
    <s v="M"/>
    <x v="1"/>
    <x v="2"/>
    <x v="0"/>
    <x v="26"/>
    <x v="3"/>
    <x v="9"/>
    <x v="1"/>
  </r>
  <r>
    <s v="TX501759"/>
    <x v="2"/>
    <x v="1"/>
    <n v="93.4"/>
    <n v="186.8"/>
    <d v="2025-03-06T00:00:00"/>
    <d v="2025-03-13T00:00:00"/>
    <s v="M"/>
    <x v="0"/>
    <x v="3"/>
    <x v="0"/>
    <x v="11"/>
    <x v="6"/>
    <x v="9"/>
    <x v="1"/>
  </r>
  <r>
    <s v="TX501760"/>
    <x v="7"/>
    <x v="13"/>
    <n v="30.8"/>
    <n v="184.8"/>
    <d v="2025-03-06T00:00:00"/>
    <d v="2025-03-09T00:00:00"/>
    <s v="F"/>
    <x v="1"/>
    <x v="0"/>
    <x v="0"/>
    <x v="11"/>
    <x v="2"/>
    <x v="9"/>
    <x v="2"/>
  </r>
  <r>
    <s v="TX501761"/>
    <x v="2"/>
    <x v="0"/>
    <n v="143.19999999999999"/>
    <n v="143.19999999999999"/>
    <d v="2025-03-06T00:00:00"/>
    <d v="2025-03-09T00:00:00"/>
    <s v="M"/>
    <x v="2"/>
    <x v="0"/>
    <x v="0"/>
    <x v="11"/>
    <x v="2"/>
    <x v="9"/>
    <x v="1"/>
  </r>
  <r>
    <s v="TX501762"/>
    <x v="6"/>
    <x v="5"/>
    <n v="40.4"/>
    <n v="444.4"/>
    <d v="2025-03-06T00:00:00"/>
    <d v="2025-03-08T00:00:00"/>
    <s v="M"/>
    <x v="2"/>
    <x v="2"/>
    <x v="0"/>
    <x v="18"/>
    <x v="1"/>
    <x v="9"/>
    <x v="1"/>
  </r>
  <r>
    <s v="TX501763"/>
    <x v="2"/>
    <x v="10"/>
    <n v="131.5"/>
    <n v="2498.5"/>
    <d v="2025-03-06T00:00:00"/>
    <d v="2025-03-08T00:00:00"/>
    <s v="M"/>
    <x v="1"/>
    <x v="1"/>
    <x v="0"/>
    <x v="18"/>
    <x v="1"/>
    <x v="9"/>
    <x v="1"/>
  </r>
  <r>
    <s v="TX501764"/>
    <x v="18"/>
    <x v="3"/>
    <n v="61.6"/>
    <n v="431.2"/>
    <d v="2025-03-06T00:00:00"/>
    <d v="2025-03-07T00:00:00"/>
    <s v="M"/>
    <x v="2"/>
    <x v="0"/>
    <x v="0"/>
    <x v="21"/>
    <x v="3"/>
    <x v="9"/>
    <x v="1"/>
  </r>
  <r>
    <s v="TX501765"/>
    <x v="9"/>
    <x v="9"/>
    <n v="32.700000000000003"/>
    <n v="163.5"/>
    <d v="2025-03-06T00:00:00"/>
    <d v="2025-03-08T00:00:00"/>
    <s v="M"/>
    <x v="2"/>
    <x v="0"/>
    <x v="0"/>
    <x v="1"/>
    <x v="1"/>
    <x v="9"/>
    <x v="1"/>
  </r>
  <r>
    <s v="TX501766"/>
    <x v="0"/>
    <x v="7"/>
    <n v="13.7"/>
    <n v="137"/>
    <d v="2025-03-06T00:00:00"/>
    <d v="2025-03-07T00:00:00"/>
    <s v="M"/>
    <x v="0"/>
    <x v="2"/>
    <x v="0"/>
    <x v="3"/>
    <x v="3"/>
    <x v="9"/>
    <x v="1"/>
  </r>
  <r>
    <s v="TX501767"/>
    <x v="0"/>
    <x v="12"/>
    <n v="32.1"/>
    <n v="128.4"/>
    <d v="2025-03-06T00:00:00"/>
    <d v="2025-03-07T00:00:00"/>
    <s v="M"/>
    <x v="4"/>
    <x v="1"/>
    <x v="0"/>
    <x v="3"/>
    <x v="3"/>
    <x v="9"/>
    <x v="1"/>
  </r>
  <r>
    <s v="TX501768"/>
    <x v="14"/>
    <x v="8"/>
    <n v="12"/>
    <n v="96"/>
    <d v="2025-03-06T00:00:00"/>
    <d v="2025-03-07T00:00:00"/>
    <s v="M"/>
    <x v="1"/>
    <x v="0"/>
    <x v="0"/>
    <x v="24"/>
    <x v="3"/>
    <x v="9"/>
    <x v="1"/>
  </r>
  <r>
    <s v="TX501769"/>
    <x v="12"/>
    <x v="0"/>
    <n v="64.3"/>
    <n v="64.3"/>
    <d v="2025-03-06T00:00:00"/>
    <d v="2025-03-08T00:00:00"/>
    <s v="F"/>
    <x v="2"/>
    <x v="2"/>
    <x v="0"/>
    <x v="6"/>
    <x v="1"/>
    <x v="9"/>
    <x v="2"/>
  </r>
  <r>
    <s v="TX501770"/>
    <x v="1"/>
    <x v="2"/>
    <n v="58.2"/>
    <n v="174.60000000000002"/>
    <d v="2025-03-06T00:00:00"/>
    <d v="2025-03-08T00:00:00"/>
    <s v="F"/>
    <x v="1"/>
    <x v="2"/>
    <x v="0"/>
    <x v="6"/>
    <x v="1"/>
    <x v="9"/>
    <x v="2"/>
  </r>
  <r>
    <s v="TX501771"/>
    <x v="6"/>
    <x v="12"/>
    <n v="59.2"/>
    <n v="236.8"/>
    <d v="2025-03-06T00:00:00"/>
    <d v="2025-03-06T00:00:00"/>
    <s v="M"/>
    <x v="1"/>
    <x v="2"/>
    <x v="0"/>
    <x v="6"/>
    <x v="7"/>
    <x v="9"/>
    <x v="1"/>
  </r>
  <r>
    <s v="TX501772"/>
    <x v="10"/>
    <x v="5"/>
    <n v="35.6"/>
    <n v="391.6"/>
    <d v="2025-03-06T00:00:00"/>
    <d v="2025-03-13T00:00:00"/>
    <s v="M"/>
    <x v="0"/>
    <x v="2"/>
    <x v="0"/>
    <x v="8"/>
    <x v="6"/>
    <x v="9"/>
    <x v="1"/>
  </r>
  <r>
    <s v="TX501773"/>
    <x v="16"/>
    <x v="8"/>
    <n v="37"/>
    <n v="296"/>
    <d v="2025-03-06T00:00:00"/>
    <d v="2025-03-10T00:00:00"/>
    <s v="F"/>
    <x v="2"/>
    <x v="1"/>
    <x v="0"/>
    <x v="8"/>
    <x v="5"/>
    <x v="9"/>
    <x v="2"/>
  </r>
  <r>
    <s v="TX501774"/>
    <x v="1"/>
    <x v="15"/>
    <n v="80.8"/>
    <n v="1050.3999999999999"/>
    <d v="2025-03-06T00:00:00"/>
    <d v="2025-03-08T00:00:00"/>
    <s v="F"/>
    <x v="0"/>
    <x v="0"/>
    <x v="0"/>
    <x v="8"/>
    <x v="1"/>
    <x v="9"/>
    <x v="2"/>
  </r>
  <r>
    <s v="TX501775"/>
    <x v="8"/>
    <x v="1"/>
    <n v="63.2"/>
    <n v="126.4"/>
    <d v="2025-03-06T00:00:00"/>
    <d v="2025-03-07T00:00:00"/>
    <s v="M"/>
    <x v="0"/>
    <x v="1"/>
    <x v="0"/>
    <x v="8"/>
    <x v="3"/>
    <x v="9"/>
    <x v="1"/>
  </r>
  <r>
    <s v="TX501776"/>
    <x v="3"/>
    <x v="1"/>
    <n v="40.799999999999997"/>
    <n v="81.599999999999994"/>
    <d v="2025-03-06T00:00:00"/>
    <d v="2025-03-08T00:00:00"/>
    <s v="M"/>
    <x v="0"/>
    <x v="1"/>
    <x v="0"/>
    <x v="17"/>
    <x v="1"/>
    <x v="9"/>
    <x v="1"/>
  </r>
  <r>
    <s v="TX501777"/>
    <x v="13"/>
    <x v="13"/>
    <n v="25.7"/>
    <n v="154.19999999999999"/>
    <d v="2025-03-06T00:00:00"/>
    <d v="2025-03-08T00:00:00"/>
    <s v="M"/>
    <x v="4"/>
    <x v="0"/>
    <x v="0"/>
    <x v="18"/>
    <x v="1"/>
    <x v="9"/>
    <x v="1"/>
  </r>
  <r>
    <s v="TX501778"/>
    <x v="16"/>
    <x v="1"/>
    <n v="49.9"/>
    <n v="99.8"/>
    <d v="2025-03-06T00:00:00"/>
    <d v="2025-03-09T00:00:00"/>
    <s v="M"/>
    <x v="0"/>
    <x v="0"/>
    <x v="0"/>
    <x v="20"/>
    <x v="2"/>
    <x v="9"/>
    <x v="1"/>
  </r>
  <r>
    <s v="TX501779"/>
    <x v="8"/>
    <x v="1"/>
    <n v="20.2"/>
    <n v="40.4"/>
    <d v="2025-03-06T00:00:00"/>
    <d v="2025-03-08T00:00:00"/>
    <s v="F"/>
    <x v="3"/>
    <x v="0"/>
    <x v="0"/>
    <x v="21"/>
    <x v="1"/>
    <x v="9"/>
    <x v="2"/>
  </r>
  <r>
    <s v="TX501780"/>
    <x v="6"/>
    <x v="2"/>
    <n v="48.4"/>
    <n v="145.19999999999999"/>
    <d v="2025-03-06T00:00:00"/>
    <d v="2025-03-11T00:00:00"/>
    <s v="F"/>
    <x v="0"/>
    <x v="2"/>
    <x v="0"/>
    <x v="21"/>
    <x v="0"/>
    <x v="9"/>
    <x v="2"/>
  </r>
  <r>
    <s v="TX501781"/>
    <x v="6"/>
    <x v="1"/>
    <n v="81"/>
    <n v="162"/>
    <d v="2025-03-06T00:00:00"/>
    <d v="2025-03-07T00:00:00"/>
    <s v="F"/>
    <x v="1"/>
    <x v="2"/>
    <x v="0"/>
    <x v="21"/>
    <x v="3"/>
    <x v="9"/>
    <x v="2"/>
  </r>
  <r>
    <s v="TX501782"/>
    <x v="8"/>
    <x v="13"/>
    <n v="19.899999999999999"/>
    <n v="119.39999999999999"/>
    <d v="2025-03-06T00:00:00"/>
    <d v="2025-03-09T00:00:00"/>
    <s v="F"/>
    <x v="0"/>
    <x v="1"/>
    <x v="0"/>
    <x v="22"/>
    <x v="2"/>
    <x v="9"/>
    <x v="2"/>
  </r>
  <r>
    <s v="TX501783"/>
    <x v="4"/>
    <x v="12"/>
    <n v="32.200000000000003"/>
    <n v="128.80000000000001"/>
    <d v="2025-03-06T00:00:00"/>
    <d v="2025-03-16T00:00:00"/>
    <s v="M"/>
    <x v="0"/>
    <x v="0"/>
    <x v="0"/>
    <x v="22"/>
    <x v="14"/>
    <x v="9"/>
    <x v="1"/>
  </r>
  <r>
    <s v="TX501784"/>
    <x v="5"/>
    <x v="2"/>
    <n v="76.8"/>
    <n v="230.39999999999998"/>
    <d v="2025-03-06T00:00:00"/>
    <d v="2025-03-07T00:00:00"/>
    <s v="F"/>
    <x v="0"/>
    <x v="1"/>
    <x v="0"/>
    <x v="3"/>
    <x v="3"/>
    <x v="9"/>
    <x v="2"/>
  </r>
  <r>
    <s v="TX501785"/>
    <x v="6"/>
    <x v="1"/>
    <n v="41.9"/>
    <n v="83.8"/>
    <d v="2025-03-06T00:00:00"/>
    <d v="2025-03-08T00:00:00"/>
    <s v="F"/>
    <x v="0"/>
    <x v="0"/>
    <x v="0"/>
    <x v="3"/>
    <x v="1"/>
    <x v="9"/>
    <x v="2"/>
  </r>
  <r>
    <s v="TX501786"/>
    <x v="0"/>
    <x v="3"/>
    <n v="34"/>
    <n v="238"/>
    <d v="2025-03-06T00:00:00"/>
    <d v="2025-03-08T00:00:00"/>
    <s v="F"/>
    <x v="1"/>
    <x v="2"/>
    <x v="0"/>
    <x v="3"/>
    <x v="1"/>
    <x v="9"/>
    <x v="2"/>
  </r>
  <r>
    <s v="TX501787"/>
    <x v="7"/>
    <x v="3"/>
    <n v="61.3"/>
    <n v="429.09999999999997"/>
    <d v="2025-03-06T00:00:00"/>
    <d v="2025-03-06T00:00:00"/>
    <s v="F"/>
    <x v="4"/>
    <x v="2"/>
    <x v="0"/>
    <x v="3"/>
    <x v="7"/>
    <x v="9"/>
    <x v="2"/>
  </r>
  <r>
    <s v="TX501788"/>
    <x v="9"/>
    <x v="0"/>
    <n v="54.7"/>
    <n v="54.7"/>
    <d v="2025-03-07T00:00:00"/>
    <d v="2025-03-08T00:00:00"/>
    <s v="M"/>
    <x v="0"/>
    <x v="1"/>
    <x v="0"/>
    <x v="3"/>
    <x v="3"/>
    <x v="9"/>
    <x v="1"/>
  </r>
  <r>
    <s v="TX501789"/>
    <x v="6"/>
    <x v="7"/>
    <n v="84.7"/>
    <n v="847"/>
    <d v="2025-03-07T00:00:00"/>
    <d v="2025-03-11T00:00:00"/>
    <s v="F"/>
    <x v="0"/>
    <x v="0"/>
    <x v="0"/>
    <x v="3"/>
    <x v="5"/>
    <x v="9"/>
    <x v="2"/>
  </r>
  <r>
    <s v="TX501790"/>
    <x v="1"/>
    <x v="2"/>
    <n v="93.4"/>
    <n v="280.20000000000005"/>
    <d v="2025-03-07T00:00:00"/>
    <d v="2025-03-11T00:00:00"/>
    <s v="F"/>
    <x v="3"/>
    <x v="0"/>
    <x v="0"/>
    <x v="3"/>
    <x v="5"/>
    <x v="9"/>
    <x v="2"/>
  </r>
  <r>
    <s v="TX501791"/>
    <x v="8"/>
    <x v="9"/>
    <n v="27"/>
    <n v="135"/>
    <d v="2025-03-07T00:00:00"/>
    <d v="2025-03-10T00:00:00"/>
    <s v="M"/>
    <x v="0"/>
    <x v="1"/>
    <x v="0"/>
    <x v="3"/>
    <x v="2"/>
    <x v="9"/>
    <x v="1"/>
  </r>
  <r>
    <s v="TX501792"/>
    <x v="0"/>
    <x v="12"/>
    <n v="10.9"/>
    <n v="43.6"/>
    <d v="2025-03-07T00:00:00"/>
    <d v="2025-03-08T00:00:00"/>
    <s v="M"/>
    <x v="2"/>
    <x v="0"/>
    <x v="0"/>
    <x v="3"/>
    <x v="3"/>
    <x v="9"/>
    <x v="1"/>
  </r>
  <r>
    <s v="TX501793"/>
    <x v="16"/>
    <x v="2"/>
    <n v="48"/>
    <n v="144"/>
    <d v="2025-03-07T00:00:00"/>
    <d v="2025-03-12T00:00:00"/>
    <s v="F"/>
    <x v="4"/>
    <x v="0"/>
    <x v="0"/>
    <x v="3"/>
    <x v="0"/>
    <x v="9"/>
    <x v="2"/>
  </r>
  <r>
    <s v="TX501794"/>
    <x v="5"/>
    <x v="1"/>
    <n v="67.900000000000006"/>
    <n v="135.80000000000001"/>
    <d v="2025-03-07T00:00:00"/>
    <d v="2025-03-08T00:00:00"/>
    <s v="M"/>
    <x v="0"/>
    <x v="2"/>
    <x v="0"/>
    <x v="23"/>
    <x v="3"/>
    <x v="9"/>
    <x v="1"/>
  </r>
  <r>
    <s v="TX501795"/>
    <x v="4"/>
    <x v="2"/>
    <n v="36"/>
    <n v="108"/>
    <d v="2025-03-07T00:00:00"/>
    <d v="2025-03-08T00:00:00"/>
    <s v="M"/>
    <x v="1"/>
    <x v="0"/>
    <x v="0"/>
    <x v="6"/>
    <x v="3"/>
    <x v="9"/>
    <x v="1"/>
  </r>
  <r>
    <s v="TX501796"/>
    <x v="2"/>
    <x v="0"/>
    <n v="128.80000000000001"/>
    <n v="128.80000000000001"/>
    <d v="2025-03-07T00:00:00"/>
    <d v="2025-03-08T00:00:00"/>
    <s v="M"/>
    <x v="4"/>
    <x v="2"/>
    <x v="0"/>
    <x v="6"/>
    <x v="3"/>
    <x v="9"/>
    <x v="1"/>
  </r>
  <r>
    <s v="TX501797"/>
    <x v="18"/>
    <x v="3"/>
    <n v="33.299999999999997"/>
    <n v="233.09999999999997"/>
    <d v="2025-03-07T00:00:00"/>
    <d v="2025-03-08T00:00:00"/>
    <s v="F"/>
    <x v="3"/>
    <x v="0"/>
    <x v="0"/>
    <x v="8"/>
    <x v="3"/>
    <x v="9"/>
    <x v="2"/>
  </r>
  <r>
    <s v="TX501798"/>
    <x v="10"/>
    <x v="2"/>
    <n v="37.799999999999997"/>
    <n v="113.39999999999999"/>
    <d v="2025-03-07T00:00:00"/>
    <d v="2025-03-09T00:00:00"/>
    <s v="M"/>
    <x v="1"/>
    <x v="2"/>
    <x v="0"/>
    <x v="8"/>
    <x v="1"/>
    <x v="9"/>
    <x v="1"/>
  </r>
  <r>
    <s v="TX501799"/>
    <x v="5"/>
    <x v="2"/>
    <n v="26"/>
    <n v="78"/>
    <d v="2025-03-07T00:00:00"/>
    <d v="2025-03-12T00:00:00"/>
    <s v="F"/>
    <x v="0"/>
    <x v="0"/>
    <x v="0"/>
    <x v="8"/>
    <x v="0"/>
    <x v="9"/>
    <x v="2"/>
  </r>
  <r>
    <s v="TX501800"/>
    <x v="8"/>
    <x v="10"/>
    <n v="28.3"/>
    <n v="537.70000000000005"/>
    <d v="2025-03-07T00:00:00"/>
    <d v="2025-03-08T00:00:00"/>
    <s v="F"/>
    <x v="3"/>
    <x v="4"/>
    <x v="0"/>
    <x v="8"/>
    <x v="3"/>
    <x v="9"/>
    <x v="2"/>
  </r>
  <r>
    <s v="TX501801"/>
    <x v="8"/>
    <x v="12"/>
    <n v="31.3"/>
    <n v="125.2"/>
    <d v="2025-03-07T00:00:00"/>
    <d v="2025-03-07T00:00:00"/>
    <s v="F"/>
    <x v="0"/>
    <x v="0"/>
    <x v="0"/>
    <x v="8"/>
    <x v="7"/>
    <x v="9"/>
    <x v="2"/>
  </r>
  <r>
    <s v="TX501802"/>
    <x v="7"/>
    <x v="2"/>
    <n v="69.5"/>
    <n v="208.5"/>
    <d v="2025-03-07T00:00:00"/>
    <d v="2025-03-08T00:00:00"/>
    <s v="F"/>
    <x v="3"/>
    <x v="2"/>
    <x v="0"/>
    <x v="8"/>
    <x v="3"/>
    <x v="9"/>
    <x v="2"/>
  </r>
  <r>
    <s v="TX501803"/>
    <x v="0"/>
    <x v="1"/>
    <n v="16.7"/>
    <n v="33.4"/>
    <d v="2025-03-07T00:00:00"/>
    <d v="2025-03-08T00:00:00"/>
    <s v="F"/>
    <x v="3"/>
    <x v="1"/>
    <x v="0"/>
    <x v="8"/>
    <x v="3"/>
    <x v="9"/>
    <x v="2"/>
  </r>
  <r>
    <s v="TX501804"/>
    <x v="9"/>
    <x v="1"/>
    <n v="62.6"/>
    <n v="125.2"/>
    <d v="2025-03-07T00:00:00"/>
    <d v="2025-03-08T00:00:00"/>
    <s v="M"/>
    <x v="2"/>
    <x v="2"/>
    <x v="0"/>
    <x v="9"/>
    <x v="3"/>
    <x v="9"/>
    <x v="1"/>
  </r>
  <r>
    <s v="TX501805"/>
    <x v="7"/>
    <x v="0"/>
    <n v="81.2"/>
    <n v="81.2"/>
    <d v="2025-03-07T00:00:00"/>
    <d v="2025-03-13T00:00:00"/>
    <s v="M"/>
    <x v="4"/>
    <x v="4"/>
    <x v="0"/>
    <x v="9"/>
    <x v="4"/>
    <x v="9"/>
    <x v="1"/>
  </r>
  <r>
    <s v="TX501806"/>
    <x v="0"/>
    <x v="7"/>
    <n v="12.7"/>
    <n v="127"/>
    <d v="2025-03-07T00:00:00"/>
    <d v="2025-03-08T00:00:00"/>
    <s v="F"/>
    <x v="0"/>
    <x v="2"/>
    <x v="0"/>
    <x v="9"/>
    <x v="3"/>
    <x v="9"/>
    <x v="2"/>
  </r>
  <r>
    <s v="TX501807"/>
    <x v="7"/>
    <x v="12"/>
    <n v="77.7"/>
    <n v="310.8"/>
    <d v="2025-03-08T00:00:00"/>
    <d v="2025-03-12T00:00:00"/>
    <s v="M"/>
    <x v="1"/>
    <x v="0"/>
    <x v="0"/>
    <x v="11"/>
    <x v="5"/>
    <x v="9"/>
    <x v="1"/>
  </r>
  <r>
    <s v="TX501808"/>
    <x v="5"/>
    <x v="1"/>
    <n v="37.299999999999997"/>
    <n v="74.599999999999994"/>
    <d v="2025-03-08T00:00:00"/>
    <d v="2025-03-09T00:00:00"/>
    <s v="F"/>
    <x v="0"/>
    <x v="2"/>
    <x v="0"/>
    <x v="18"/>
    <x v="3"/>
    <x v="9"/>
    <x v="2"/>
  </r>
  <r>
    <s v="TX501809"/>
    <x v="10"/>
    <x v="12"/>
    <n v="35.6"/>
    <n v="142.4"/>
    <d v="2025-03-08T00:00:00"/>
    <d v="2025-03-10T00:00:00"/>
    <s v="F"/>
    <x v="1"/>
    <x v="1"/>
    <x v="0"/>
    <x v="19"/>
    <x v="1"/>
    <x v="9"/>
    <x v="2"/>
  </r>
  <r>
    <s v="TX501810"/>
    <x v="2"/>
    <x v="2"/>
    <n v="95"/>
    <n v="285"/>
    <d v="2025-03-08T00:00:00"/>
    <d v="2025-03-12T00:00:00"/>
    <s v="F"/>
    <x v="2"/>
    <x v="2"/>
    <x v="0"/>
    <x v="56"/>
    <x v="5"/>
    <x v="9"/>
    <x v="2"/>
  </r>
  <r>
    <s v="TX501811"/>
    <x v="2"/>
    <x v="12"/>
    <n v="172.1"/>
    <n v="688.4"/>
    <d v="2025-03-08T00:00:00"/>
    <d v="2025-03-12T00:00:00"/>
    <s v="O"/>
    <x v="2"/>
    <x v="2"/>
    <x v="0"/>
    <x v="21"/>
    <x v="5"/>
    <x v="9"/>
    <x v="3"/>
  </r>
  <r>
    <s v="TX501812"/>
    <x v="2"/>
    <x v="1"/>
    <n v="233"/>
    <n v="466"/>
    <d v="2025-03-08T00:00:00"/>
    <d v="2025-03-11T00:00:00"/>
    <s v="F"/>
    <x v="1"/>
    <x v="0"/>
    <x v="0"/>
    <x v="21"/>
    <x v="2"/>
    <x v="9"/>
    <x v="2"/>
  </r>
  <r>
    <s v="TX501813"/>
    <x v="0"/>
    <x v="0"/>
    <n v="43.5"/>
    <n v="43.5"/>
    <d v="2025-03-08T00:00:00"/>
    <d v="2025-03-09T00:00:00"/>
    <s v="F"/>
    <x v="2"/>
    <x v="2"/>
    <x v="0"/>
    <x v="21"/>
    <x v="3"/>
    <x v="9"/>
    <x v="2"/>
  </r>
  <r>
    <s v="TX501814"/>
    <x v="9"/>
    <x v="1"/>
    <n v="47.8"/>
    <n v="95.6"/>
    <d v="2025-03-08T00:00:00"/>
    <d v="2025-03-11T00:00:00"/>
    <s v="M"/>
    <x v="4"/>
    <x v="2"/>
    <x v="0"/>
    <x v="1"/>
    <x v="2"/>
    <x v="9"/>
    <x v="1"/>
  </r>
  <r>
    <s v="TX501815"/>
    <x v="12"/>
    <x v="1"/>
    <n v="65.8"/>
    <n v="131.6"/>
    <d v="2025-03-08T00:00:00"/>
    <d v="2025-03-10T00:00:00"/>
    <s v="F"/>
    <x v="0"/>
    <x v="3"/>
    <x v="0"/>
    <x v="33"/>
    <x v="1"/>
    <x v="9"/>
    <x v="2"/>
  </r>
  <r>
    <s v="TX501816"/>
    <x v="15"/>
    <x v="5"/>
    <n v="38.700000000000003"/>
    <n v="425.70000000000005"/>
    <d v="2025-03-08T00:00:00"/>
    <d v="2025-03-08T00:00:00"/>
    <s v="M"/>
    <x v="0"/>
    <x v="0"/>
    <x v="0"/>
    <x v="22"/>
    <x v="7"/>
    <x v="9"/>
    <x v="1"/>
  </r>
  <r>
    <s v="TX501817"/>
    <x v="3"/>
    <x v="12"/>
    <n v="55.7"/>
    <n v="222.8"/>
    <d v="2025-03-08T00:00:00"/>
    <d v="2025-03-10T00:00:00"/>
    <s v="O"/>
    <x v="0"/>
    <x v="1"/>
    <x v="0"/>
    <x v="22"/>
    <x v="1"/>
    <x v="9"/>
    <x v="3"/>
  </r>
  <r>
    <s v="TX501818"/>
    <x v="7"/>
    <x v="1"/>
    <n v="102.4"/>
    <n v="204.8"/>
    <d v="2025-03-08T00:00:00"/>
    <d v="2025-03-08T00:00:00"/>
    <s v="F"/>
    <x v="1"/>
    <x v="0"/>
    <x v="0"/>
    <x v="3"/>
    <x v="7"/>
    <x v="9"/>
    <x v="2"/>
  </r>
  <r>
    <s v="TX501819"/>
    <x v="1"/>
    <x v="0"/>
    <n v="92"/>
    <n v="92"/>
    <d v="2025-03-08T00:00:00"/>
    <d v="2025-03-12T00:00:00"/>
    <s v=""/>
    <x v="2"/>
    <x v="0"/>
    <x v="0"/>
    <x v="3"/>
    <x v="5"/>
    <x v="9"/>
    <x v="0"/>
  </r>
  <r>
    <s v="TX501820"/>
    <x v="6"/>
    <x v="12"/>
    <n v="75.900000000000006"/>
    <n v="303.60000000000002"/>
    <d v="2025-03-08T00:00:00"/>
    <d v="2025-03-10T00:00:00"/>
    <s v="F"/>
    <x v="1"/>
    <x v="0"/>
    <x v="0"/>
    <x v="3"/>
    <x v="1"/>
    <x v="9"/>
    <x v="2"/>
  </r>
  <r>
    <s v="TX501821"/>
    <x v="1"/>
    <x v="12"/>
    <n v="36.200000000000003"/>
    <n v="144.80000000000001"/>
    <d v="2025-03-08T00:00:00"/>
    <d v="2025-03-09T00:00:00"/>
    <s v="F"/>
    <x v="1"/>
    <x v="0"/>
    <x v="0"/>
    <x v="3"/>
    <x v="3"/>
    <x v="9"/>
    <x v="2"/>
  </r>
  <r>
    <s v="TX501822"/>
    <x v="6"/>
    <x v="45"/>
    <n v="83.5"/>
    <n v="7264.5"/>
    <d v="2025-03-08T00:00:00"/>
    <d v="2025-03-10T00:00:00"/>
    <s v=""/>
    <x v="3"/>
    <x v="0"/>
    <x v="0"/>
    <x v="3"/>
    <x v="1"/>
    <x v="9"/>
    <x v="0"/>
  </r>
  <r>
    <s v="TX501823"/>
    <x v="19"/>
    <x v="4"/>
    <n v="52.4"/>
    <n v="628.79999999999995"/>
    <d v="2025-03-08T00:00:00"/>
    <d v="2025-03-08T00:00:00"/>
    <s v="M"/>
    <x v="2"/>
    <x v="0"/>
    <x v="0"/>
    <x v="3"/>
    <x v="7"/>
    <x v="9"/>
    <x v="1"/>
  </r>
  <r>
    <s v="TX501824"/>
    <x v="12"/>
    <x v="2"/>
    <n v="69.5"/>
    <n v="208.5"/>
    <d v="2025-03-08T00:00:00"/>
    <d v="2025-03-09T00:00:00"/>
    <s v="O"/>
    <x v="4"/>
    <x v="0"/>
    <x v="0"/>
    <x v="3"/>
    <x v="3"/>
    <x v="9"/>
    <x v="3"/>
  </r>
  <r>
    <s v="TX501825"/>
    <x v="0"/>
    <x v="0"/>
    <n v="15.5"/>
    <n v="15.5"/>
    <d v="2025-03-08T00:00:00"/>
    <d v="2025-03-10T00:00:00"/>
    <s v="M"/>
    <x v="0"/>
    <x v="0"/>
    <x v="0"/>
    <x v="3"/>
    <x v="1"/>
    <x v="9"/>
    <x v="1"/>
  </r>
  <r>
    <s v="TX501826"/>
    <x v="4"/>
    <x v="12"/>
    <n v="35.200000000000003"/>
    <n v="140.80000000000001"/>
    <d v="2025-03-08T00:00:00"/>
    <d v="2025-03-09T00:00:00"/>
    <s v="F"/>
    <x v="2"/>
    <x v="2"/>
    <x v="0"/>
    <x v="3"/>
    <x v="3"/>
    <x v="9"/>
    <x v="2"/>
  </r>
  <r>
    <s v="TX501827"/>
    <x v="8"/>
    <x v="13"/>
    <n v="34.6"/>
    <n v="207.60000000000002"/>
    <d v="2025-03-08T00:00:00"/>
    <d v="2025-03-09T00:00:00"/>
    <s v=""/>
    <x v="0"/>
    <x v="1"/>
    <x v="0"/>
    <x v="3"/>
    <x v="3"/>
    <x v="9"/>
    <x v="0"/>
  </r>
  <r>
    <s v="TX501828"/>
    <x v="4"/>
    <x v="0"/>
    <n v="21.3"/>
    <n v="21.3"/>
    <d v="2025-03-09T00:00:00"/>
    <d v="2025-03-10T00:00:00"/>
    <s v="M"/>
    <x v="2"/>
    <x v="1"/>
    <x v="0"/>
    <x v="3"/>
    <x v="3"/>
    <x v="10"/>
    <x v="1"/>
  </r>
  <r>
    <s v="TX501829"/>
    <x v="6"/>
    <x v="1"/>
    <n v="136.5"/>
    <n v="273"/>
    <d v="2025-03-09T00:00:00"/>
    <d v="2025-03-15T00:00:00"/>
    <s v="F"/>
    <x v="0"/>
    <x v="0"/>
    <x v="0"/>
    <x v="37"/>
    <x v="4"/>
    <x v="10"/>
    <x v="2"/>
  </r>
  <r>
    <s v="TX501830"/>
    <x v="9"/>
    <x v="3"/>
    <n v="30.7"/>
    <n v="214.9"/>
    <d v="2025-03-09T00:00:00"/>
    <d v="2025-03-10T00:00:00"/>
    <s v="M"/>
    <x v="2"/>
    <x v="2"/>
    <x v="0"/>
    <x v="25"/>
    <x v="3"/>
    <x v="10"/>
    <x v="1"/>
  </r>
  <r>
    <s v="TX501831"/>
    <x v="1"/>
    <x v="1"/>
    <n v="61.6"/>
    <n v="123.2"/>
    <d v="2025-03-09T00:00:00"/>
    <d v="2025-03-10T00:00:00"/>
    <s v="F"/>
    <x v="2"/>
    <x v="2"/>
    <x v="0"/>
    <x v="23"/>
    <x v="3"/>
    <x v="10"/>
    <x v="2"/>
  </r>
  <r>
    <s v="TX501832"/>
    <x v="6"/>
    <x v="12"/>
    <n v="54.3"/>
    <n v="217.2"/>
    <d v="2025-03-09T00:00:00"/>
    <d v="2025-03-11T00:00:00"/>
    <s v=""/>
    <x v="4"/>
    <x v="0"/>
    <x v="0"/>
    <x v="7"/>
    <x v="1"/>
    <x v="10"/>
    <x v="0"/>
  </r>
  <r>
    <s v="TX501833"/>
    <x v="1"/>
    <x v="1"/>
    <n v="44.1"/>
    <n v="88.2"/>
    <d v="2025-03-09T00:00:00"/>
    <d v="2025-03-21T00:00:00"/>
    <s v="F"/>
    <x v="0"/>
    <x v="2"/>
    <x v="0"/>
    <x v="8"/>
    <x v="13"/>
    <x v="10"/>
    <x v="2"/>
  </r>
  <r>
    <s v="TX501834"/>
    <x v="8"/>
    <x v="12"/>
    <n v="43.5"/>
    <n v="174"/>
    <d v="2025-03-09T00:00:00"/>
    <d v="2025-03-15T00:00:00"/>
    <s v="M"/>
    <x v="3"/>
    <x v="0"/>
    <x v="0"/>
    <x v="8"/>
    <x v="4"/>
    <x v="10"/>
    <x v="1"/>
  </r>
  <r>
    <s v="TX501835"/>
    <x v="8"/>
    <x v="2"/>
    <n v="48.2"/>
    <n v="144.60000000000002"/>
    <d v="2025-03-09T00:00:00"/>
    <d v="2025-03-13T00:00:00"/>
    <s v="M"/>
    <x v="3"/>
    <x v="1"/>
    <x v="0"/>
    <x v="8"/>
    <x v="5"/>
    <x v="10"/>
    <x v="1"/>
  </r>
  <r>
    <s v="TX501836"/>
    <x v="19"/>
    <x v="0"/>
    <n v="13.7"/>
    <n v="13.7"/>
    <d v="2025-03-09T00:00:00"/>
    <d v="2025-03-10T00:00:00"/>
    <s v="F"/>
    <x v="2"/>
    <x v="2"/>
    <x v="0"/>
    <x v="8"/>
    <x v="3"/>
    <x v="10"/>
    <x v="2"/>
  </r>
  <r>
    <s v="TX501837"/>
    <x v="2"/>
    <x v="1"/>
    <n v="110.5"/>
    <n v="221"/>
    <d v="2025-03-09T00:00:00"/>
    <d v="2025-03-10T00:00:00"/>
    <s v="F"/>
    <x v="0"/>
    <x v="1"/>
    <x v="0"/>
    <x v="8"/>
    <x v="3"/>
    <x v="10"/>
    <x v="2"/>
  </r>
  <r>
    <s v="TX501838"/>
    <x v="8"/>
    <x v="2"/>
    <n v="26"/>
    <n v="78"/>
    <d v="2025-03-09T00:00:00"/>
    <d v="2025-03-14T00:00:00"/>
    <s v="F"/>
    <x v="1"/>
    <x v="1"/>
    <x v="0"/>
    <x v="8"/>
    <x v="0"/>
    <x v="10"/>
    <x v="2"/>
  </r>
  <r>
    <s v="TX501839"/>
    <x v="2"/>
    <x v="7"/>
    <n v="140.69999999999999"/>
    <n v="1407"/>
    <d v="2025-03-09T00:00:00"/>
    <d v="2025-03-15T00:00:00"/>
    <s v="M"/>
    <x v="3"/>
    <x v="1"/>
    <x v="0"/>
    <x v="8"/>
    <x v="4"/>
    <x v="10"/>
    <x v="1"/>
  </r>
  <r>
    <s v="TX501840"/>
    <x v="17"/>
    <x v="1"/>
    <n v="41.7"/>
    <n v="83.4"/>
    <d v="2025-03-09T00:00:00"/>
    <d v="2025-03-17T00:00:00"/>
    <s v="F"/>
    <x v="0"/>
    <x v="4"/>
    <x v="0"/>
    <x v="8"/>
    <x v="9"/>
    <x v="10"/>
    <x v="2"/>
  </r>
  <r>
    <s v="TX501841"/>
    <x v="2"/>
    <x v="1"/>
    <n v="135.1"/>
    <n v="270.2"/>
    <d v="2025-03-09T00:00:00"/>
    <d v="2025-03-10T00:00:00"/>
    <s v="M"/>
    <x v="0"/>
    <x v="2"/>
    <x v="0"/>
    <x v="17"/>
    <x v="3"/>
    <x v="10"/>
    <x v="1"/>
  </r>
  <r>
    <s v="TX501842"/>
    <x v="12"/>
    <x v="32"/>
    <n v="95.5"/>
    <n v="2101"/>
    <d v="2025-03-09T00:00:00"/>
    <d v="2025-03-10T00:00:00"/>
    <s v="F"/>
    <x v="4"/>
    <x v="4"/>
    <x v="0"/>
    <x v="26"/>
    <x v="3"/>
    <x v="10"/>
    <x v="2"/>
  </r>
  <r>
    <s v="TX501843"/>
    <x v="15"/>
    <x v="0"/>
    <n v="25.5"/>
    <n v="25.5"/>
    <d v="2025-03-09T00:00:00"/>
    <d v="2025-03-12T00:00:00"/>
    <s v=""/>
    <x v="2"/>
    <x v="2"/>
    <x v="0"/>
    <x v="11"/>
    <x v="2"/>
    <x v="10"/>
    <x v="0"/>
  </r>
  <r>
    <s v="TX501844"/>
    <x v="1"/>
    <x v="0"/>
    <n v="42.6"/>
    <n v="42.6"/>
    <d v="2025-03-09T00:00:00"/>
    <d v="2025-03-13T00:00:00"/>
    <s v="F"/>
    <x v="0"/>
    <x v="0"/>
    <x v="0"/>
    <x v="11"/>
    <x v="5"/>
    <x v="10"/>
    <x v="2"/>
  </r>
  <r>
    <s v="TX501845"/>
    <x v="8"/>
    <x v="20"/>
    <n v="32.4"/>
    <n v="486"/>
    <d v="2025-03-09T00:00:00"/>
    <d v="2025-03-10T00:00:00"/>
    <s v="M"/>
    <x v="1"/>
    <x v="1"/>
    <x v="0"/>
    <x v="11"/>
    <x v="3"/>
    <x v="10"/>
    <x v="1"/>
  </r>
  <r>
    <s v="TX501846"/>
    <x v="4"/>
    <x v="12"/>
    <n v="20.2"/>
    <n v="80.8"/>
    <d v="2025-03-09T00:00:00"/>
    <d v="2025-03-10T00:00:00"/>
    <s v="O"/>
    <x v="2"/>
    <x v="0"/>
    <x v="0"/>
    <x v="11"/>
    <x v="3"/>
    <x v="10"/>
    <x v="3"/>
  </r>
  <r>
    <s v="TX501847"/>
    <x v="16"/>
    <x v="2"/>
    <n v="52.5"/>
    <n v="157.5"/>
    <d v="2025-03-09T00:00:00"/>
    <d v="2025-03-14T00:00:00"/>
    <s v="F"/>
    <x v="4"/>
    <x v="0"/>
    <x v="0"/>
    <x v="18"/>
    <x v="0"/>
    <x v="10"/>
    <x v="2"/>
  </r>
  <r>
    <s v="TX501848"/>
    <x v="2"/>
    <x v="9"/>
    <n v="59.9"/>
    <n v="299.5"/>
    <d v="2025-03-09T00:00:00"/>
    <d v="2025-03-11T00:00:00"/>
    <s v="F"/>
    <x v="2"/>
    <x v="0"/>
    <x v="0"/>
    <x v="19"/>
    <x v="1"/>
    <x v="10"/>
    <x v="2"/>
  </r>
  <r>
    <s v="TX501849"/>
    <x v="4"/>
    <x v="1"/>
    <n v="53.2"/>
    <n v="106.4"/>
    <d v="2025-03-09T00:00:00"/>
    <d v="2025-03-10T00:00:00"/>
    <s v="F"/>
    <x v="1"/>
    <x v="3"/>
    <x v="0"/>
    <x v="20"/>
    <x v="3"/>
    <x v="10"/>
    <x v="2"/>
  </r>
  <r>
    <s v="TX501850"/>
    <x v="2"/>
    <x v="1"/>
    <n v="60"/>
    <n v="120"/>
    <d v="2025-03-09T00:00:00"/>
    <d v="2025-03-15T00:00:00"/>
    <s v="M"/>
    <x v="1"/>
    <x v="2"/>
    <x v="0"/>
    <x v="20"/>
    <x v="4"/>
    <x v="10"/>
    <x v="1"/>
  </r>
  <r>
    <s v="TX501851"/>
    <x v="8"/>
    <x v="2"/>
    <n v="29.3"/>
    <n v="87.9"/>
    <d v="2025-03-09T00:00:00"/>
    <d v="2025-03-10T00:00:00"/>
    <s v="F"/>
    <x v="4"/>
    <x v="0"/>
    <x v="0"/>
    <x v="13"/>
    <x v="3"/>
    <x v="10"/>
    <x v="2"/>
  </r>
  <r>
    <s v="TX501852"/>
    <x v="12"/>
    <x v="1"/>
    <n v="55.4"/>
    <n v="110.8"/>
    <d v="2025-03-09T00:00:00"/>
    <d v="2025-03-10T00:00:00"/>
    <s v="F"/>
    <x v="0"/>
    <x v="2"/>
    <x v="0"/>
    <x v="21"/>
    <x v="3"/>
    <x v="10"/>
    <x v="2"/>
  </r>
  <r>
    <s v="TX501853"/>
    <x v="0"/>
    <x v="9"/>
    <n v="20.100000000000001"/>
    <n v="100.5"/>
    <d v="2025-03-09T00:00:00"/>
    <d v="2025-03-11T00:00:00"/>
    <s v="F"/>
    <x v="1"/>
    <x v="2"/>
    <x v="0"/>
    <x v="21"/>
    <x v="1"/>
    <x v="10"/>
    <x v="2"/>
  </r>
  <r>
    <s v="TX501854"/>
    <x v="14"/>
    <x v="9"/>
    <n v="24"/>
    <n v="120"/>
    <d v="2025-03-09T00:00:00"/>
    <d v="2025-03-12T00:00:00"/>
    <s v="M"/>
    <x v="2"/>
    <x v="0"/>
    <x v="0"/>
    <x v="1"/>
    <x v="2"/>
    <x v="10"/>
    <x v="1"/>
  </r>
  <r>
    <s v="TX501855"/>
    <x v="8"/>
    <x v="1"/>
    <n v="30.6"/>
    <n v="61.2"/>
    <d v="2025-03-10T00:00:00"/>
    <d v="2025-03-12T00:00:00"/>
    <s v="F"/>
    <x v="0"/>
    <x v="0"/>
    <x v="0"/>
    <x v="1"/>
    <x v="1"/>
    <x v="10"/>
    <x v="2"/>
  </r>
  <r>
    <s v="TX501856"/>
    <x v="10"/>
    <x v="9"/>
    <n v="33"/>
    <n v="165"/>
    <d v="2025-03-10T00:00:00"/>
    <d v="2025-03-11T00:00:00"/>
    <s v="M"/>
    <x v="1"/>
    <x v="1"/>
    <x v="0"/>
    <x v="27"/>
    <x v="3"/>
    <x v="10"/>
    <x v="1"/>
  </r>
  <r>
    <s v="TX501857"/>
    <x v="17"/>
    <x v="11"/>
    <n v="42.1"/>
    <n v="378.90000000000003"/>
    <d v="2025-03-10T00:00:00"/>
    <d v="2025-03-16T00:00:00"/>
    <s v="F"/>
    <x v="2"/>
    <x v="0"/>
    <x v="0"/>
    <x v="44"/>
    <x v="4"/>
    <x v="10"/>
    <x v="2"/>
  </r>
  <r>
    <s v="TX501858"/>
    <x v="6"/>
    <x v="3"/>
    <n v="77.7"/>
    <n v="543.9"/>
    <d v="2025-03-10T00:00:00"/>
    <d v="2025-03-15T00:00:00"/>
    <s v="F"/>
    <x v="1"/>
    <x v="2"/>
    <x v="0"/>
    <x v="50"/>
    <x v="0"/>
    <x v="10"/>
    <x v="2"/>
  </r>
  <r>
    <s v="TX501859"/>
    <x v="17"/>
    <x v="13"/>
    <n v="22.7"/>
    <n v="136.19999999999999"/>
    <d v="2025-03-10T00:00:00"/>
    <d v="2025-03-13T00:00:00"/>
    <s v="F"/>
    <x v="2"/>
    <x v="0"/>
    <x v="0"/>
    <x v="3"/>
    <x v="2"/>
    <x v="10"/>
    <x v="2"/>
  </r>
  <r>
    <s v="TX501860"/>
    <x v="2"/>
    <x v="1"/>
    <n v="133"/>
    <n v="266"/>
    <d v="2025-03-10T00:00:00"/>
    <d v="2025-03-10T00:00:00"/>
    <s v="M"/>
    <x v="2"/>
    <x v="2"/>
    <x v="0"/>
    <x v="3"/>
    <x v="7"/>
    <x v="10"/>
    <x v="1"/>
  </r>
  <r>
    <s v="TX501861"/>
    <x v="0"/>
    <x v="1"/>
    <n v="23.3"/>
    <n v="46.6"/>
    <d v="2025-03-10T00:00:00"/>
    <d v="2025-03-11T00:00:00"/>
    <s v="M"/>
    <x v="1"/>
    <x v="2"/>
    <x v="0"/>
    <x v="3"/>
    <x v="3"/>
    <x v="10"/>
    <x v="1"/>
  </r>
  <r>
    <s v="TX501862"/>
    <x v="8"/>
    <x v="2"/>
    <n v="20.7"/>
    <n v="62.099999999999994"/>
    <d v="2025-03-10T00:00:00"/>
    <d v="2025-03-12T00:00:00"/>
    <s v="O"/>
    <x v="0"/>
    <x v="2"/>
    <x v="0"/>
    <x v="3"/>
    <x v="1"/>
    <x v="10"/>
    <x v="3"/>
  </r>
  <r>
    <s v="TX501863"/>
    <x v="12"/>
    <x v="1"/>
    <n v="47"/>
    <n v="94"/>
    <d v="2025-03-10T00:00:00"/>
    <d v="2025-03-11T00:00:00"/>
    <s v="M"/>
    <x v="1"/>
    <x v="2"/>
    <x v="0"/>
    <x v="3"/>
    <x v="3"/>
    <x v="10"/>
    <x v="1"/>
  </r>
  <r>
    <s v="TX501864"/>
    <x v="12"/>
    <x v="2"/>
    <n v="38.200000000000003"/>
    <n v="114.60000000000001"/>
    <d v="2025-03-10T00:00:00"/>
    <d v="2025-03-12T00:00:00"/>
    <s v="F"/>
    <x v="2"/>
    <x v="4"/>
    <x v="0"/>
    <x v="3"/>
    <x v="1"/>
    <x v="10"/>
    <x v="2"/>
  </r>
  <r>
    <s v="TX501865"/>
    <x v="9"/>
    <x v="0"/>
    <n v="39.1"/>
    <n v="39.1"/>
    <d v="2025-03-10T00:00:00"/>
    <d v="2025-03-12T00:00:00"/>
    <s v="F"/>
    <x v="0"/>
    <x v="0"/>
    <x v="0"/>
    <x v="3"/>
    <x v="1"/>
    <x v="10"/>
    <x v="2"/>
  </r>
  <r>
    <s v="TX501866"/>
    <x v="7"/>
    <x v="30"/>
    <n v="55.6"/>
    <n v="1390"/>
    <d v="2025-03-10T00:00:00"/>
    <d v="2025-03-12T00:00:00"/>
    <s v="M"/>
    <x v="0"/>
    <x v="2"/>
    <x v="0"/>
    <x v="3"/>
    <x v="1"/>
    <x v="10"/>
    <x v="1"/>
  </r>
  <r>
    <s v="TX501867"/>
    <x v="15"/>
    <x v="0"/>
    <n v="43.1"/>
    <n v="43.1"/>
    <d v="2025-03-10T00:00:00"/>
    <d v="2025-03-10T00:00:00"/>
    <s v="O"/>
    <x v="1"/>
    <x v="2"/>
    <x v="0"/>
    <x v="3"/>
    <x v="7"/>
    <x v="10"/>
    <x v="3"/>
  </r>
  <r>
    <s v="TX501868"/>
    <x v="6"/>
    <x v="12"/>
    <n v="48.1"/>
    <n v="192.4"/>
    <d v="2025-03-10T00:00:00"/>
    <d v="2025-03-11T00:00:00"/>
    <s v="F"/>
    <x v="4"/>
    <x v="2"/>
    <x v="0"/>
    <x v="3"/>
    <x v="3"/>
    <x v="10"/>
    <x v="2"/>
  </r>
  <r>
    <s v="TX501869"/>
    <x v="4"/>
    <x v="0"/>
    <n v="42"/>
    <n v="42"/>
    <d v="2025-03-10T00:00:00"/>
    <d v="2025-03-11T00:00:00"/>
    <s v="O"/>
    <x v="0"/>
    <x v="0"/>
    <x v="0"/>
    <x v="3"/>
    <x v="3"/>
    <x v="10"/>
    <x v="3"/>
  </r>
  <r>
    <s v="TX501870"/>
    <x v="8"/>
    <x v="9"/>
    <n v="18.3"/>
    <n v="91.5"/>
    <d v="2025-03-10T00:00:00"/>
    <d v="2025-03-10T00:00:00"/>
    <s v="F"/>
    <x v="2"/>
    <x v="0"/>
    <x v="0"/>
    <x v="3"/>
    <x v="7"/>
    <x v="10"/>
    <x v="2"/>
  </r>
  <r>
    <s v="TX501871"/>
    <x v="10"/>
    <x v="12"/>
    <n v="45.3"/>
    <n v="181.2"/>
    <d v="2025-03-10T00:00:00"/>
    <d v="2025-03-13T00:00:00"/>
    <s v="F"/>
    <x v="0"/>
    <x v="2"/>
    <x v="0"/>
    <x v="3"/>
    <x v="2"/>
    <x v="10"/>
    <x v="2"/>
  </r>
  <r>
    <s v="TX501872"/>
    <x v="0"/>
    <x v="1"/>
    <n v="27.6"/>
    <n v="55.2"/>
    <d v="2025-03-10T00:00:00"/>
    <d v="2025-03-12T00:00:00"/>
    <s v="M"/>
    <x v="0"/>
    <x v="2"/>
    <x v="0"/>
    <x v="37"/>
    <x v="1"/>
    <x v="10"/>
    <x v="1"/>
  </r>
  <r>
    <s v="TX501873"/>
    <x v="4"/>
    <x v="9"/>
    <n v="26.9"/>
    <n v="134.5"/>
    <d v="2025-03-10T00:00:00"/>
    <d v="2025-03-11T00:00:00"/>
    <s v="F"/>
    <x v="2"/>
    <x v="0"/>
    <x v="0"/>
    <x v="25"/>
    <x v="3"/>
    <x v="10"/>
    <x v="2"/>
  </r>
  <r>
    <s v="TX501874"/>
    <x v="2"/>
    <x v="11"/>
    <n v="82.4"/>
    <n v="741.6"/>
    <d v="2025-03-10T00:00:00"/>
    <d v="2025-03-12T00:00:00"/>
    <s v="O"/>
    <x v="2"/>
    <x v="0"/>
    <x v="0"/>
    <x v="5"/>
    <x v="1"/>
    <x v="10"/>
    <x v="3"/>
  </r>
  <r>
    <s v="TX501875"/>
    <x v="6"/>
    <x v="0"/>
    <n v="103.7"/>
    <n v="103.7"/>
    <d v="2025-03-10T00:00:00"/>
    <d v="2025-03-12T00:00:00"/>
    <s v="F"/>
    <x v="1"/>
    <x v="0"/>
    <x v="0"/>
    <x v="5"/>
    <x v="1"/>
    <x v="10"/>
    <x v="2"/>
  </r>
  <r>
    <s v="TX501876"/>
    <x v="2"/>
    <x v="1"/>
    <n v="58.8"/>
    <n v="117.6"/>
    <d v="2025-03-10T00:00:00"/>
    <d v="2025-03-15T00:00:00"/>
    <s v="F"/>
    <x v="1"/>
    <x v="2"/>
    <x v="0"/>
    <x v="6"/>
    <x v="0"/>
    <x v="10"/>
    <x v="2"/>
  </r>
  <r>
    <s v="TX501877"/>
    <x v="13"/>
    <x v="0"/>
    <n v="31.5"/>
    <n v="31.5"/>
    <d v="2025-03-10T00:00:00"/>
    <d v="2025-03-11T00:00:00"/>
    <s v="F"/>
    <x v="1"/>
    <x v="1"/>
    <x v="0"/>
    <x v="6"/>
    <x v="3"/>
    <x v="10"/>
    <x v="2"/>
  </r>
  <r>
    <s v="TX501878"/>
    <x v="7"/>
    <x v="9"/>
    <n v="36.799999999999997"/>
    <n v="184"/>
    <d v="2025-03-10T00:00:00"/>
    <d v="2025-03-12T00:00:00"/>
    <s v="F"/>
    <x v="0"/>
    <x v="0"/>
    <x v="0"/>
    <x v="8"/>
    <x v="1"/>
    <x v="10"/>
    <x v="2"/>
  </r>
  <r>
    <s v="TX501879"/>
    <x v="3"/>
    <x v="0"/>
    <n v="84.4"/>
    <n v="84.4"/>
    <d v="2025-03-10T00:00:00"/>
    <d v="2025-03-11T00:00:00"/>
    <s v="F"/>
    <x v="0"/>
    <x v="0"/>
    <x v="0"/>
    <x v="8"/>
    <x v="3"/>
    <x v="10"/>
    <x v="2"/>
  </r>
  <r>
    <s v="TX501880"/>
    <x v="14"/>
    <x v="0"/>
    <n v="44.7"/>
    <n v="44.7"/>
    <d v="2025-03-10T00:00:00"/>
    <d v="2025-03-11T00:00:00"/>
    <s v="M"/>
    <x v="0"/>
    <x v="1"/>
    <x v="0"/>
    <x v="8"/>
    <x v="3"/>
    <x v="10"/>
    <x v="1"/>
  </r>
  <r>
    <s v="TX501881"/>
    <x v="9"/>
    <x v="8"/>
    <n v="39.4"/>
    <n v="315.2"/>
    <d v="2025-03-10T00:00:00"/>
    <d v="2025-03-11T00:00:00"/>
    <s v="F"/>
    <x v="1"/>
    <x v="2"/>
    <x v="0"/>
    <x v="8"/>
    <x v="3"/>
    <x v="10"/>
    <x v="2"/>
  </r>
  <r>
    <s v="TX501882"/>
    <x v="11"/>
    <x v="12"/>
    <n v="34.9"/>
    <n v="139.6"/>
    <d v="2025-03-10T00:00:00"/>
    <d v="2025-03-12T00:00:00"/>
    <s v="F"/>
    <x v="0"/>
    <x v="2"/>
    <x v="0"/>
    <x v="8"/>
    <x v="1"/>
    <x v="10"/>
    <x v="2"/>
  </r>
  <r>
    <s v="TX501883"/>
    <x v="1"/>
    <x v="2"/>
    <n v="62.3"/>
    <n v="186.89999999999998"/>
    <d v="2025-03-10T00:00:00"/>
    <d v="2025-03-12T00:00:00"/>
    <s v="M"/>
    <x v="4"/>
    <x v="2"/>
    <x v="0"/>
    <x v="8"/>
    <x v="1"/>
    <x v="10"/>
    <x v="1"/>
  </r>
  <r>
    <s v="TX501884"/>
    <x v="8"/>
    <x v="12"/>
    <n v="21.1"/>
    <n v="84.4"/>
    <d v="2025-03-10T00:00:00"/>
    <d v="2025-03-13T00:00:00"/>
    <s v="M"/>
    <x v="3"/>
    <x v="0"/>
    <x v="0"/>
    <x v="8"/>
    <x v="2"/>
    <x v="10"/>
    <x v="1"/>
  </r>
  <r>
    <s v="TX501885"/>
    <x v="8"/>
    <x v="2"/>
    <n v="33.200000000000003"/>
    <n v="99.600000000000009"/>
    <d v="2025-03-10T00:00:00"/>
    <d v="2025-03-24T00:00:00"/>
    <s v=""/>
    <x v="0"/>
    <x v="4"/>
    <x v="0"/>
    <x v="8"/>
    <x v="12"/>
    <x v="10"/>
    <x v="0"/>
  </r>
  <r>
    <s v="TX501886"/>
    <x v="1"/>
    <x v="12"/>
    <n v="74.5"/>
    <n v="298"/>
    <d v="2025-03-10T00:00:00"/>
    <d v="2025-03-11T00:00:00"/>
    <s v="M"/>
    <x v="4"/>
    <x v="0"/>
    <x v="0"/>
    <x v="8"/>
    <x v="3"/>
    <x v="10"/>
    <x v="1"/>
  </r>
  <r>
    <s v="TX501887"/>
    <x v="10"/>
    <x v="4"/>
    <n v="68.599999999999994"/>
    <n v="823.19999999999993"/>
    <d v="2025-03-10T00:00:00"/>
    <d v="2025-03-13T00:00:00"/>
    <s v="F"/>
    <x v="0"/>
    <x v="2"/>
    <x v="0"/>
    <x v="8"/>
    <x v="2"/>
    <x v="10"/>
    <x v="2"/>
  </r>
  <r>
    <s v="TX501888"/>
    <x v="5"/>
    <x v="21"/>
    <n v="36.4"/>
    <n v="509.59999999999997"/>
    <d v="2025-03-10T00:00:00"/>
    <d v="2025-03-12T00:00:00"/>
    <s v="F"/>
    <x v="0"/>
    <x v="1"/>
    <x v="0"/>
    <x v="9"/>
    <x v="1"/>
    <x v="10"/>
    <x v="2"/>
  </r>
  <r>
    <s v="TX501889"/>
    <x v="16"/>
    <x v="9"/>
    <n v="67.599999999999994"/>
    <n v="338"/>
    <d v="2025-03-11T00:00:00"/>
    <d v="2025-03-14T00:00:00"/>
    <s v="F"/>
    <x v="4"/>
    <x v="1"/>
    <x v="0"/>
    <x v="9"/>
    <x v="2"/>
    <x v="10"/>
    <x v="2"/>
  </r>
  <r>
    <s v="TX501890"/>
    <x v="15"/>
    <x v="0"/>
    <n v="46.3"/>
    <n v="46.3"/>
    <d v="2025-03-11T00:00:00"/>
    <d v="2025-03-12T00:00:00"/>
    <s v="M"/>
    <x v="2"/>
    <x v="0"/>
    <x v="0"/>
    <x v="9"/>
    <x v="3"/>
    <x v="10"/>
    <x v="1"/>
  </r>
  <r>
    <s v="TX501891"/>
    <x v="1"/>
    <x v="2"/>
    <n v="124.2"/>
    <n v="372.6"/>
    <d v="2025-03-11T00:00:00"/>
    <d v="2025-03-13T00:00:00"/>
    <s v="F"/>
    <x v="1"/>
    <x v="2"/>
    <x v="0"/>
    <x v="11"/>
    <x v="1"/>
    <x v="10"/>
    <x v="2"/>
  </r>
  <r>
    <s v="TX501892"/>
    <x v="10"/>
    <x v="1"/>
    <n v="37"/>
    <n v="74"/>
    <d v="2025-03-11T00:00:00"/>
    <d v="2025-03-17T00:00:00"/>
    <s v="M"/>
    <x v="0"/>
    <x v="0"/>
    <x v="0"/>
    <x v="11"/>
    <x v="4"/>
    <x v="10"/>
    <x v="1"/>
  </r>
  <r>
    <s v="TX501893"/>
    <x v="5"/>
    <x v="0"/>
    <n v="41.8"/>
    <n v="41.8"/>
    <d v="2025-03-11T00:00:00"/>
    <d v="2025-03-12T00:00:00"/>
    <s v="M"/>
    <x v="2"/>
    <x v="0"/>
    <x v="0"/>
    <x v="31"/>
    <x v="3"/>
    <x v="10"/>
    <x v="1"/>
  </r>
  <r>
    <s v="TX501894"/>
    <x v="9"/>
    <x v="1"/>
    <n v="57.2"/>
    <n v="114.4"/>
    <d v="2025-03-11T00:00:00"/>
    <d v="2025-03-13T00:00:00"/>
    <s v="M"/>
    <x v="2"/>
    <x v="1"/>
    <x v="0"/>
    <x v="20"/>
    <x v="1"/>
    <x v="10"/>
    <x v="1"/>
  </r>
  <r>
    <s v="TX501895"/>
    <x v="6"/>
    <x v="1"/>
    <n v="47.1"/>
    <n v="94.2"/>
    <d v="2025-03-11T00:00:00"/>
    <d v="2025-03-13T00:00:00"/>
    <s v="F"/>
    <x v="0"/>
    <x v="4"/>
    <x v="0"/>
    <x v="20"/>
    <x v="1"/>
    <x v="10"/>
    <x v="2"/>
  </r>
  <r>
    <s v="TX501896"/>
    <x v="5"/>
    <x v="2"/>
    <n v="86.4"/>
    <n v="259.20000000000005"/>
    <d v="2025-03-11T00:00:00"/>
    <d v="2025-03-12T00:00:00"/>
    <s v="M"/>
    <x v="2"/>
    <x v="1"/>
    <x v="0"/>
    <x v="52"/>
    <x v="3"/>
    <x v="10"/>
    <x v="1"/>
  </r>
  <r>
    <s v="TX501897"/>
    <x v="6"/>
    <x v="9"/>
    <n v="105"/>
    <n v="525"/>
    <d v="2025-03-11T00:00:00"/>
    <d v="2025-03-14T00:00:00"/>
    <s v="M"/>
    <x v="0"/>
    <x v="0"/>
    <x v="0"/>
    <x v="13"/>
    <x v="2"/>
    <x v="10"/>
    <x v="1"/>
  </r>
  <r>
    <s v="TX501898"/>
    <x v="18"/>
    <x v="0"/>
    <n v="33"/>
    <n v="33"/>
    <d v="2025-03-11T00:00:00"/>
    <d v="2025-03-14T00:00:00"/>
    <s v="M"/>
    <x v="4"/>
    <x v="0"/>
    <x v="0"/>
    <x v="21"/>
    <x v="2"/>
    <x v="10"/>
    <x v="1"/>
  </r>
  <r>
    <s v="TX501899"/>
    <x v="6"/>
    <x v="9"/>
    <n v="106.6"/>
    <n v="533"/>
    <d v="2025-03-11T00:00:00"/>
    <d v="2025-03-24T00:00:00"/>
    <s v="F"/>
    <x v="2"/>
    <x v="0"/>
    <x v="0"/>
    <x v="1"/>
    <x v="10"/>
    <x v="10"/>
    <x v="2"/>
  </r>
  <r>
    <s v="TX501900"/>
    <x v="10"/>
    <x v="46"/>
    <n v="26.8"/>
    <n v="857.6"/>
    <d v="2025-03-11T00:00:00"/>
    <d v="2025-03-12T00:00:00"/>
    <s v="F"/>
    <x v="2"/>
    <x v="0"/>
    <x v="0"/>
    <x v="1"/>
    <x v="3"/>
    <x v="10"/>
    <x v="2"/>
  </r>
  <r>
    <s v="TX501901"/>
    <x v="17"/>
    <x v="9"/>
    <n v="25.8"/>
    <n v="129"/>
    <d v="2025-03-11T00:00:00"/>
    <d v="2025-03-11T00:00:00"/>
    <s v="F"/>
    <x v="1"/>
    <x v="2"/>
    <x v="0"/>
    <x v="3"/>
    <x v="7"/>
    <x v="10"/>
    <x v="2"/>
  </r>
  <r>
    <s v="TX501902"/>
    <x v="2"/>
    <x v="2"/>
    <n v="217"/>
    <n v="651"/>
    <d v="2025-03-11T00:00:00"/>
    <d v="2025-03-12T00:00:00"/>
    <s v="F"/>
    <x v="1"/>
    <x v="1"/>
    <x v="0"/>
    <x v="3"/>
    <x v="3"/>
    <x v="10"/>
    <x v="2"/>
  </r>
  <r>
    <s v="TX501903"/>
    <x v="2"/>
    <x v="1"/>
    <n v="97.3"/>
    <n v="194.6"/>
    <d v="2025-03-11T00:00:00"/>
    <d v="2025-03-12T00:00:00"/>
    <s v="M"/>
    <x v="2"/>
    <x v="4"/>
    <x v="0"/>
    <x v="3"/>
    <x v="3"/>
    <x v="10"/>
    <x v="1"/>
  </r>
  <r>
    <s v="TX501904"/>
    <x v="1"/>
    <x v="0"/>
    <n v="49.8"/>
    <n v="49.8"/>
    <d v="2025-03-11T00:00:00"/>
    <d v="2025-03-12T00:00:00"/>
    <s v="F"/>
    <x v="0"/>
    <x v="0"/>
    <x v="0"/>
    <x v="3"/>
    <x v="3"/>
    <x v="10"/>
    <x v="2"/>
  </r>
  <r>
    <s v="TX501905"/>
    <x v="12"/>
    <x v="9"/>
    <n v="32.6"/>
    <n v="163"/>
    <d v="2025-03-11T00:00:00"/>
    <d v="2025-03-12T00:00:00"/>
    <s v="F"/>
    <x v="0"/>
    <x v="0"/>
    <x v="0"/>
    <x v="3"/>
    <x v="3"/>
    <x v="10"/>
    <x v="2"/>
  </r>
  <r>
    <s v="TX501906"/>
    <x v="9"/>
    <x v="1"/>
    <n v="40.1"/>
    <n v="80.2"/>
    <d v="2025-03-11T00:00:00"/>
    <d v="2025-03-14T00:00:00"/>
    <s v="M"/>
    <x v="1"/>
    <x v="2"/>
    <x v="0"/>
    <x v="3"/>
    <x v="2"/>
    <x v="10"/>
    <x v="1"/>
  </r>
  <r>
    <s v="TX501907"/>
    <x v="10"/>
    <x v="1"/>
    <n v="49.4"/>
    <n v="98.8"/>
    <d v="2025-03-11T00:00:00"/>
    <d v="2025-03-13T00:00:00"/>
    <s v="M"/>
    <x v="1"/>
    <x v="0"/>
    <x v="0"/>
    <x v="3"/>
    <x v="1"/>
    <x v="10"/>
    <x v="1"/>
  </r>
  <r>
    <s v="TX501908"/>
    <x v="2"/>
    <x v="0"/>
    <n v="67.3"/>
    <n v="67.3"/>
    <d v="2025-03-11T00:00:00"/>
    <d v="2025-03-12T00:00:00"/>
    <s v="F"/>
    <x v="0"/>
    <x v="2"/>
    <x v="0"/>
    <x v="3"/>
    <x v="3"/>
    <x v="10"/>
    <x v="2"/>
  </r>
  <r>
    <s v="TX501909"/>
    <x v="18"/>
    <x v="12"/>
    <n v="44.5"/>
    <n v="178"/>
    <d v="2025-03-11T00:00:00"/>
    <d v="2025-03-14T00:00:00"/>
    <s v=""/>
    <x v="1"/>
    <x v="0"/>
    <x v="0"/>
    <x v="3"/>
    <x v="2"/>
    <x v="10"/>
    <x v="0"/>
  </r>
  <r>
    <s v="TX501910"/>
    <x v="6"/>
    <x v="5"/>
    <n v="111.1"/>
    <n v="1222.0999999999999"/>
    <d v="2025-03-11T00:00:00"/>
    <d v="2025-03-12T00:00:00"/>
    <s v="F"/>
    <x v="4"/>
    <x v="0"/>
    <x v="0"/>
    <x v="3"/>
    <x v="3"/>
    <x v="10"/>
    <x v="2"/>
  </r>
  <r>
    <s v="TX501911"/>
    <x v="8"/>
    <x v="2"/>
    <n v="19.7"/>
    <n v="59.099999999999994"/>
    <d v="2025-03-11T00:00:00"/>
    <d v="2025-03-12T00:00:00"/>
    <s v="F"/>
    <x v="4"/>
    <x v="4"/>
    <x v="0"/>
    <x v="3"/>
    <x v="3"/>
    <x v="10"/>
    <x v="2"/>
  </r>
  <r>
    <s v="TX501912"/>
    <x v="1"/>
    <x v="0"/>
    <n v="40.299999999999997"/>
    <n v="40.299999999999997"/>
    <d v="2025-03-11T00:00:00"/>
    <d v="2025-03-12T00:00:00"/>
    <s v="O"/>
    <x v="1"/>
    <x v="0"/>
    <x v="0"/>
    <x v="3"/>
    <x v="3"/>
    <x v="10"/>
    <x v="3"/>
  </r>
  <r>
    <s v="TX501913"/>
    <x v="6"/>
    <x v="1"/>
    <n v="108.8"/>
    <n v="217.6"/>
    <d v="2025-03-11T00:00:00"/>
    <d v="2025-03-16T00:00:00"/>
    <s v="M"/>
    <x v="0"/>
    <x v="2"/>
    <x v="0"/>
    <x v="6"/>
    <x v="0"/>
    <x v="10"/>
    <x v="1"/>
  </r>
  <r>
    <s v="TX501914"/>
    <x v="8"/>
    <x v="2"/>
    <n v="48.2"/>
    <n v="144.60000000000002"/>
    <d v="2025-03-11T00:00:00"/>
    <d v="2025-03-16T00:00:00"/>
    <s v="F"/>
    <x v="4"/>
    <x v="0"/>
    <x v="0"/>
    <x v="7"/>
    <x v="0"/>
    <x v="10"/>
    <x v="2"/>
  </r>
  <r>
    <s v="TX501915"/>
    <x v="2"/>
    <x v="2"/>
    <n v="104.7"/>
    <n v="314.10000000000002"/>
    <d v="2025-03-11T00:00:00"/>
    <d v="2025-03-13T00:00:00"/>
    <s v="F"/>
    <x v="0"/>
    <x v="1"/>
    <x v="0"/>
    <x v="7"/>
    <x v="1"/>
    <x v="10"/>
    <x v="2"/>
  </r>
  <r>
    <s v="TX501916"/>
    <x v="1"/>
    <x v="1"/>
    <n v="80.599999999999994"/>
    <n v="161.19999999999999"/>
    <d v="2025-03-11T00:00:00"/>
    <d v="2025-03-11T00:00:00"/>
    <s v="F"/>
    <x v="1"/>
    <x v="0"/>
    <x v="0"/>
    <x v="8"/>
    <x v="7"/>
    <x v="10"/>
    <x v="2"/>
  </r>
  <r>
    <s v="TX501917"/>
    <x v="6"/>
    <x v="0"/>
    <n v="65.5"/>
    <n v="65.5"/>
    <d v="2025-03-11T00:00:00"/>
    <d v="2025-03-13T00:00:00"/>
    <s v="O"/>
    <x v="1"/>
    <x v="0"/>
    <x v="0"/>
    <x v="8"/>
    <x v="1"/>
    <x v="10"/>
    <x v="3"/>
  </r>
  <r>
    <s v="TX501918"/>
    <x v="9"/>
    <x v="2"/>
    <n v="61.4"/>
    <n v="184.2"/>
    <d v="2025-03-11T00:00:00"/>
    <d v="2025-03-13T00:00:00"/>
    <s v="F"/>
    <x v="4"/>
    <x v="2"/>
    <x v="0"/>
    <x v="8"/>
    <x v="1"/>
    <x v="10"/>
    <x v="2"/>
  </r>
  <r>
    <s v="TX501919"/>
    <x v="0"/>
    <x v="0"/>
    <n v="12.5"/>
    <n v="12.5"/>
    <d v="2025-03-12T00:00:00"/>
    <d v="2025-03-15T00:00:00"/>
    <s v="F"/>
    <x v="0"/>
    <x v="1"/>
    <x v="0"/>
    <x v="8"/>
    <x v="2"/>
    <x v="10"/>
    <x v="2"/>
  </r>
  <r>
    <s v="TX501920"/>
    <x v="4"/>
    <x v="12"/>
    <n v="35.1"/>
    <n v="140.4"/>
    <d v="2025-03-12T00:00:00"/>
    <d v="2025-03-13T00:00:00"/>
    <s v="M"/>
    <x v="2"/>
    <x v="1"/>
    <x v="0"/>
    <x v="17"/>
    <x v="3"/>
    <x v="10"/>
    <x v="1"/>
  </r>
  <r>
    <s v="TX501921"/>
    <x v="5"/>
    <x v="1"/>
    <n v="55.7"/>
    <n v="111.4"/>
    <d v="2025-03-12T00:00:00"/>
    <d v="2025-03-13T00:00:00"/>
    <s v="M"/>
    <x v="0"/>
    <x v="1"/>
    <x v="0"/>
    <x v="26"/>
    <x v="3"/>
    <x v="10"/>
    <x v="1"/>
  </r>
  <r>
    <s v="TX501922"/>
    <x v="7"/>
    <x v="1"/>
    <n v="57.7"/>
    <n v="115.4"/>
    <d v="2025-03-12T00:00:00"/>
    <d v="2025-03-14T00:00:00"/>
    <s v="M"/>
    <x v="4"/>
    <x v="1"/>
    <x v="0"/>
    <x v="9"/>
    <x v="1"/>
    <x v="10"/>
    <x v="1"/>
  </r>
  <r>
    <s v="TX501923"/>
    <x v="2"/>
    <x v="13"/>
    <n v="85.7"/>
    <n v="514.20000000000005"/>
    <d v="2025-03-12T00:00:00"/>
    <d v="2025-03-13T00:00:00"/>
    <s v="M"/>
    <x v="3"/>
    <x v="2"/>
    <x v="0"/>
    <x v="9"/>
    <x v="3"/>
    <x v="10"/>
    <x v="1"/>
  </r>
  <r>
    <s v="TX501924"/>
    <x v="2"/>
    <x v="2"/>
    <n v="86.9"/>
    <n v="260.70000000000005"/>
    <d v="2025-03-12T00:00:00"/>
    <d v="2025-03-14T00:00:00"/>
    <s v="F"/>
    <x v="1"/>
    <x v="0"/>
    <x v="0"/>
    <x v="11"/>
    <x v="1"/>
    <x v="10"/>
    <x v="2"/>
  </r>
  <r>
    <s v="TX501925"/>
    <x v="18"/>
    <x v="1"/>
    <n v="46.4"/>
    <n v="92.8"/>
    <d v="2025-03-12T00:00:00"/>
    <d v="2025-03-15T00:00:00"/>
    <s v="F"/>
    <x v="4"/>
    <x v="0"/>
    <x v="0"/>
    <x v="11"/>
    <x v="2"/>
    <x v="10"/>
    <x v="2"/>
  </r>
  <r>
    <s v="TX501926"/>
    <x v="5"/>
    <x v="2"/>
    <n v="25.4"/>
    <n v="76.199999999999989"/>
    <d v="2025-03-12T00:00:00"/>
    <d v="2025-03-12T00:00:00"/>
    <s v="F"/>
    <x v="2"/>
    <x v="2"/>
    <x v="0"/>
    <x v="18"/>
    <x v="7"/>
    <x v="10"/>
    <x v="2"/>
  </r>
  <r>
    <s v="TX501927"/>
    <x v="10"/>
    <x v="2"/>
    <n v="47.8"/>
    <n v="143.39999999999998"/>
    <d v="2025-03-12T00:00:00"/>
    <d v="2025-03-12T00:00:00"/>
    <s v=""/>
    <x v="2"/>
    <x v="2"/>
    <x v="0"/>
    <x v="19"/>
    <x v="7"/>
    <x v="10"/>
    <x v="0"/>
  </r>
  <r>
    <s v="TX501928"/>
    <x v="8"/>
    <x v="10"/>
    <n v="18.399999999999999"/>
    <n v="349.59999999999997"/>
    <d v="2025-03-12T00:00:00"/>
    <d v="2025-03-14T00:00:00"/>
    <s v="O"/>
    <x v="2"/>
    <x v="0"/>
    <x v="0"/>
    <x v="20"/>
    <x v="1"/>
    <x v="10"/>
    <x v="3"/>
  </r>
  <r>
    <s v="TX501929"/>
    <x v="12"/>
    <x v="2"/>
    <n v="65.5"/>
    <n v="196.5"/>
    <d v="2025-03-12T00:00:00"/>
    <d v="2025-03-20T00:00:00"/>
    <s v="F"/>
    <x v="0"/>
    <x v="0"/>
    <x v="0"/>
    <x v="21"/>
    <x v="9"/>
    <x v="10"/>
    <x v="2"/>
  </r>
  <r>
    <s v="TX501930"/>
    <x v="10"/>
    <x v="1"/>
    <n v="50.6"/>
    <n v="101.2"/>
    <d v="2025-03-12T00:00:00"/>
    <d v="2025-03-15T00:00:00"/>
    <s v="M"/>
    <x v="2"/>
    <x v="4"/>
    <x v="0"/>
    <x v="21"/>
    <x v="2"/>
    <x v="10"/>
    <x v="1"/>
  </r>
  <r>
    <s v="TX501931"/>
    <x v="3"/>
    <x v="9"/>
    <n v="69"/>
    <n v="345"/>
    <d v="2025-03-12T00:00:00"/>
    <d v="2025-03-16T00:00:00"/>
    <s v="M"/>
    <x v="3"/>
    <x v="0"/>
    <x v="0"/>
    <x v="21"/>
    <x v="5"/>
    <x v="10"/>
    <x v="1"/>
  </r>
  <r>
    <s v="TX501932"/>
    <x v="9"/>
    <x v="8"/>
    <n v="51.1"/>
    <n v="408.8"/>
    <d v="2025-03-12T00:00:00"/>
    <d v="2025-03-14T00:00:00"/>
    <s v="F"/>
    <x v="0"/>
    <x v="0"/>
    <x v="0"/>
    <x v="1"/>
    <x v="1"/>
    <x v="10"/>
    <x v="2"/>
  </r>
  <r>
    <s v="TX501933"/>
    <x v="9"/>
    <x v="0"/>
    <n v="36.1"/>
    <n v="36.1"/>
    <d v="2025-03-12T00:00:00"/>
    <d v="2025-03-13T00:00:00"/>
    <s v="F"/>
    <x v="0"/>
    <x v="2"/>
    <x v="0"/>
    <x v="34"/>
    <x v="3"/>
    <x v="10"/>
    <x v="2"/>
  </r>
  <r>
    <s v="TX501934"/>
    <x v="14"/>
    <x v="0"/>
    <n v="18.7"/>
    <n v="18.7"/>
    <d v="2025-03-12T00:00:00"/>
    <d v="2025-03-13T00:00:00"/>
    <s v="M"/>
    <x v="0"/>
    <x v="0"/>
    <x v="0"/>
    <x v="3"/>
    <x v="3"/>
    <x v="10"/>
    <x v="1"/>
  </r>
  <r>
    <s v="TX501935"/>
    <x v="17"/>
    <x v="0"/>
    <n v="30.1"/>
    <n v="30.1"/>
    <d v="2025-03-12T00:00:00"/>
    <d v="2025-03-15T00:00:00"/>
    <s v="F"/>
    <x v="3"/>
    <x v="1"/>
    <x v="0"/>
    <x v="3"/>
    <x v="2"/>
    <x v="10"/>
    <x v="2"/>
  </r>
  <r>
    <s v="TX501936"/>
    <x v="8"/>
    <x v="0"/>
    <n v="16.3"/>
    <n v="16.3"/>
    <d v="2025-03-12T00:00:00"/>
    <d v="2025-03-13T00:00:00"/>
    <s v="M"/>
    <x v="3"/>
    <x v="0"/>
    <x v="0"/>
    <x v="3"/>
    <x v="3"/>
    <x v="10"/>
    <x v="1"/>
  </r>
  <r>
    <s v="TX501937"/>
    <x v="1"/>
    <x v="2"/>
    <n v="63.8"/>
    <n v="191.39999999999998"/>
    <d v="2025-03-12T00:00:00"/>
    <d v="2025-03-17T00:00:00"/>
    <s v="F"/>
    <x v="2"/>
    <x v="1"/>
    <x v="0"/>
    <x v="3"/>
    <x v="0"/>
    <x v="10"/>
    <x v="2"/>
  </r>
  <r>
    <s v="TX501938"/>
    <x v="1"/>
    <x v="3"/>
    <n v="73.900000000000006"/>
    <n v="517.30000000000007"/>
    <d v="2025-03-12T00:00:00"/>
    <d v="2025-03-12T00:00:00"/>
    <s v="F"/>
    <x v="0"/>
    <x v="1"/>
    <x v="0"/>
    <x v="3"/>
    <x v="7"/>
    <x v="10"/>
    <x v="2"/>
  </r>
  <r>
    <s v="TX501939"/>
    <x v="0"/>
    <x v="1"/>
    <n v="20.2"/>
    <n v="40.4"/>
    <d v="2025-03-12T00:00:00"/>
    <d v="2025-03-13T00:00:00"/>
    <s v="M"/>
    <x v="0"/>
    <x v="1"/>
    <x v="0"/>
    <x v="3"/>
    <x v="3"/>
    <x v="10"/>
    <x v="1"/>
  </r>
  <r>
    <s v="TX501940"/>
    <x v="11"/>
    <x v="5"/>
    <n v="29.5"/>
    <n v="324.5"/>
    <d v="2025-03-12T00:00:00"/>
    <d v="2025-03-13T00:00:00"/>
    <s v="M"/>
    <x v="0"/>
    <x v="0"/>
    <x v="0"/>
    <x v="3"/>
    <x v="3"/>
    <x v="10"/>
    <x v="1"/>
  </r>
  <r>
    <s v="TX501941"/>
    <x v="15"/>
    <x v="3"/>
    <n v="37.9"/>
    <n v="265.3"/>
    <d v="2025-03-12T00:00:00"/>
    <d v="2025-03-13T00:00:00"/>
    <s v="M"/>
    <x v="1"/>
    <x v="0"/>
    <x v="0"/>
    <x v="3"/>
    <x v="3"/>
    <x v="10"/>
    <x v="1"/>
  </r>
  <r>
    <s v="TX501942"/>
    <x v="2"/>
    <x v="0"/>
    <n v="56.5"/>
    <n v="56.5"/>
    <d v="2025-03-12T00:00:00"/>
    <d v="2025-03-13T00:00:00"/>
    <s v="F"/>
    <x v="2"/>
    <x v="1"/>
    <x v="0"/>
    <x v="3"/>
    <x v="3"/>
    <x v="10"/>
    <x v="2"/>
  </r>
  <r>
    <s v="TX501943"/>
    <x v="2"/>
    <x v="1"/>
    <n v="66.900000000000006"/>
    <n v="133.80000000000001"/>
    <d v="2025-03-12T00:00:00"/>
    <d v="2025-03-18T00:00:00"/>
    <s v="M"/>
    <x v="1"/>
    <x v="4"/>
    <x v="0"/>
    <x v="25"/>
    <x v="4"/>
    <x v="10"/>
    <x v="1"/>
  </r>
  <r>
    <s v="TX501944"/>
    <x v="2"/>
    <x v="9"/>
    <n v="51.9"/>
    <n v="259.5"/>
    <d v="2025-03-12T00:00:00"/>
    <d v="2025-03-15T00:00:00"/>
    <s v="M"/>
    <x v="1"/>
    <x v="0"/>
    <x v="0"/>
    <x v="7"/>
    <x v="2"/>
    <x v="10"/>
    <x v="1"/>
  </r>
  <r>
    <s v="TX501945"/>
    <x v="2"/>
    <x v="1"/>
    <n v="75.599999999999994"/>
    <n v="151.19999999999999"/>
    <d v="2025-03-12T00:00:00"/>
    <d v="2025-03-15T00:00:00"/>
    <s v="M"/>
    <x v="1"/>
    <x v="0"/>
    <x v="0"/>
    <x v="8"/>
    <x v="2"/>
    <x v="10"/>
    <x v="1"/>
  </r>
  <r>
    <s v="TX501946"/>
    <x v="12"/>
    <x v="13"/>
    <n v="47.3"/>
    <n v="283.79999999999995"/>
    <d v="2025-03-12T00:00:00"/>
    <d v="2025-03-23T00:00:00"/>
    <s v="M"/>
    <x v="0"/>
    <x v="0"/>
    <x v="0"/>
    <x v="8"/>
    <x v="11"/>
    <x v="10"/>
    <x v="1"/>
  </r>
  <r>
    <s v="TX501947"/>
    <x v="4"/>
    <x v="0"/>
    <n v="20.6"/>
    <n v="20.6"/>
    <d v="2025-03-12T00:00:00"/>
    <d v="2025-03-13T00:00:00"/>
    <s v=""/>
    <x v="0"/>
    <x v="1"/>
    <x v="0"/>
    <x v="8"/>
    <x v="3"/>
    <x v="10"/>
    <x v="0"/>
  </r>
  <r>
    <s v="TX501948"/>
    <x v="6"/>
    <x v="2"/>
    <n v="49.7"/>
    <n v="149.10000000000002"/>
    <d v="2025-03-12T00:00:00"/>
    <d v="2025-03-14T00:00:00"/>
    <s v="M"/>
    <x v="0"/>
    <x v="1"/>
    <x v="0"/>
    <x v="8"/>
    <x v="1"/>
    <x v="10"/>
    <x v="1"/>
  </r>
  <r>
    <s v="TX501949"/>
    <x v="3"/>
    <x v="0"/>
    <n v="37.9"/>
    <n v="37.9"/>
    <d v="2025-03-12T00:00:00"/>
    <d v="2025-03-14T00:00:00"/>
    <s v="F"/>
    <x v="0"/>
    <x v="0"/>
    <x v="0"/>
    <x v="8"/>
    <x v="1"/>
    <x v="10"/>
    <x v="2"/>
  </r>
  <r>
    <s v="TX501950"/>
    <x v="13"/>
    <x v="20"/>
    <n v="32"/>
    <n v="480"/>
    <d v="2025-03-12T00:00:00"/>
    <d v="2025-03-14T00:00:00"/>
    <s v="F"/>
    <x v="4"/>
    <x v="0"/>
    <x v="0"/>
    <x v="11"/>
    <x v="1"/>
    <x v="10"/>
    <x v="2"/>
  </r>
  <r>
    <s v="TX501951"/>
    <x v="10"/>
    <x v="16"/>
    <n v="38.5"/>
    <n v="693"/>
    <d v="2025-03-13T00:00:00"/>
    <d v="2025-03-14T00:00:00"/>
    <s v="M"/>
    <x v="0"/>
    <x v="2"/>
    <x v="0"/>
    <x v="11"/>
    <x v="3"/>
    <x v="10"/>
    <x v="1"/>
  </r>
  <r>
    <s v="TX501952"/>
    <x v="0"/>
    <x v="12"/>
    <n v="11.7"/>
    <n v="46.8"/>
    <d v="2025-03-13T00:00:00"/>
    <d v="2025-03-15T00:00:00"/>
    <s v="F"/>
    <x v="1"/>
    <x v="0"/>
    <x v="0"/>
    <x v="20"/>
    <x v="1"/>
    <x v="10"/>
    <x v="2"/>
  </r>
  <r>
    <s v="TX501953"/>
    <x v="3"/>
    <x v="13"/>
    <n v="83.8"/>
    <n v="502.79999999999995"/>
    <d v="2025-03-13T00:00:00"/>
    <d v="2025-03-14T00:00:00"/>
    <s v="M"/>
    <x v="0"/>
    <x v="0"/>
    <x v="0"/>
    <x v="21"/>
    <x v="3"/>
    <x v="10"/>
    <x v="1"/>
  </r>
  <r>
    <s v="TX501954"/>
    <x v="0"/>
    <x v="3"/>
    <n v="14"/>
    <n v="98"/>
    <d v="2025-03-13T00:00:00"/>
    <d v="2025-03-16T00:00:00"/>
    <s v="M"/>
    <x v="0"/>
    <x v="1"/>
    <x v="0"/>
    <x v="22"/>
    <x v="2"/>
    <x v="10"/>
    <x v="1"/>
  </r>
  <r>
    <s v="TX501955"/>
    <x v="16"/>
    <x v="12"/>
    <n v="77.3"/>
    <n v="309.2"/>
    <d v="2025-03-13T00:00:00"/>
    <d v="2025-03-15T00:00:00"/>
    <s v="F"/>
    <x v="4"/>
    <x v="2"/>
    <x v="0"/>
    <x v="3"/>
    <x v="1"/>
    <x v="10"/>
    <x v="2"/>
  </r>
  <r>
    <s v="TX501956"/>
    <x v="2"/>
    <x v="1"/>
    <n v="76.900000000000006"/>
    <n v="153.80000000000001"/>
    <d v="2025-03-13T00:00:00"/>
    <d v="2025-03-17T00:00:00"/>
    <s v="F"/>
    <x v="0"/>
    <x v="1"/>
    <x v="0"/>
    <x v="3"/>
    <x v="5"/>
    <x v="10"/>
    <x v="2"/>
  </r>
  <r>
    <s v="TX501957"/>
    <x v="1"/>
    <x v="0"/>
    <n v="48"/>
    <n v="48"/>
    <d v="2025-03-13T00:00:00"/>
    <d v="2025-03-15T00:00:00"/>
    <s v="F"/>
    <x v="1"/>
    <x v="2"/>
    <x v="0"/>
    <x v="3"/>
    <x v="1"/>
    <x v="10"/>
    <x v="2"/>
  </r>
  <r>
    <s v="TX501958"/>
    <x v="2"/>
    <x v="0"/>
    <n v="94.5"/>
    <n v="94.5"/>
    <d v="2025-03-13T00:00:00"/>
    <d v="2025-03-16T00:00:00"/>
    <s v="M"/>
    <x v="1"/>
    <x v="1"/>
    <x v="0"/>
    <x v="3"/>
    <x v="2"/>
    <x v="10"/>
    <x v="1"/>
  </r>
  <r>
    <s v="TX501959"/>
    <x v="10"/>
    <x v="2"/>
    <n v="58.4"/>
    <n v="175.2"/>
    <d v="2025-03-13T00:00:00"/>
    <d v="2025-03-15T00:00:00"/>
    <s v="F"/>
    <x v="1"/>
    <x v="2"/>
    <x v="0"/>
    <x v="3"/>
    <x v="1"/>
    <x v="10"/>
    <x v="2"/>
  </r>
  <r>
    <s v="TX501960"/>
    <x v="7"/>
    <x v="15"/>
    <n v="42.2"/>
    <n v="548.6"/>
    <d v="2025-03-13T00:00:00"/>
    <d v="2025-03-13T00:00:00"/>
    <s v="M"/>
    <x v="0"/>
    <x v="0"/>
    <x v="0"/>
    <x v="25"/>
    <x v="7"/>
    <x v="10"/>
    <x v="1"/>
  </r>
  <r>
    <s v="TX501961"/>
    <x v="6"/>
    <x v="1"/>
    <n v="152.19999999999999"/>
    <n v="304.39999999999998"/>
    <d v="2025-03-13T00:00:00"/>
    <d v="2025-03-14T00:00:00"/>
    <s v="M"/>
    <x v="4"/>
    <x v="1"/>
    <x v="0"/>
    <x v="25"/>
    <x v="3"/>
    <x v="10"/>
    <x v="1"/>
  </r>
  <r>
    <s v="TX501962"/>
    <x v="6"/>
    <x v="25"/>
    <n v="72"/>
    <n v="1728"/>
    <d v="2025-03-13T00:00:00"/>
    <d v="2025-03-14T00:00:00"/>
    <s v="M"/>
    <x v="0"/>
    <x v="1"/>
    <x v="0"/>
    <x v="6"/>
    <x v="3"/>
    <x v="10"/>
    <x v="1"/>
  </r>
  <r>
    <s v="TX501963"/>
    <x v="1"/>
    <x v="44"/>
    <n v="70.900000000000006"/>
    <n v="1630.7"/>
    <d v="2025-03-13T00:00:00"/>
    <d v="2025-03-14T00:00:00"/>
    <s v="F"/>
    <x v="2"/>
    <x v="0"/>
    <x v="0"/>
    <x v="8"/>
    <x v="3"/>
    <x v="10"/>
    <x v="2"/>
  </r>
  <r>
    <s v="TX501964"/>
    <x v="2"/>
    <x v="1"/>
    <n v="53.7"/>
    <n v="107.4"/>
    <d v="2025-03-13T00:00:00"/>
    <d v="2025-03-14T00:00:00"/>
    <s v="M"/>
    <x v="2"/>
    <x v="2"/>
    <x v="0"/>
    <x v="8"/>
    <x v="3"/>
    <x v="10"/>
    <x v="1"/>
  </r>
  <r>
    <s v="TX501965"/>
    <x v="9"/>
    <x v="12"/>
    <n v="42.9"/>
    <n v="171.6"/>
    <d v="2025-03-13T00:00:00"/>
    <d v="2025-03-14T00:00:00"/>
    <s v="F"/>
    <x v="2"/>
    <x v="4"/>
    <x v="0"/>
    <x v="9"/>
    <x v="3"/>
    <x v="10"/>
    <x v="2"/>
  </r>
  <r>
    <s v="TX501966"/>
    <x v="2"/>
    <x v="3"/>
    <n v="107.5"/>
    <n v="752.5"/>
    <d v="2025-03-13T00:00:00"/>
    <d v="2025-03-14T00:00:00"/>
    <s v="M"/>
    <x v="1"/>
    <x v="0"/>
    <x v="0"/>
    <x v="11"/>
    <x v="3"/>
    <x v="10"/>
    <x v="1"/>
  </r>
  <r>
    <s v="TX501967"/>
    <x v="17"/>
    <x v="27"/>
    <n v="21.5"/>
    <n v="344"/>
    <d v="2025-03-13T00:00:00"/>
    <d v="2025-03-14T00:00:00"/>
    <s v="M"/>
    <x v="1"/>
    <x v="1"/>
    <x v="0"/>
    <x v="32"/>
    <x v="3"/>
    <x v="10"/>
    <x v="1"/>
  </r>
  <r>
    <s v="TX501968"/>
    <x v="3"/>
    <x v="9"/>
    <n v="85.3"/>
    <n v="426.5"/>
    <d v="2025-03-13T00:00:00"/>
    <d v="2025-03-15T00:00:00"/>
    <s v="F"/>
    <x v="3"/>
    <x v="0"/>
    <x v="0"/>
    <x v="18"/>
    <x v="1"/>
    <x v="10"/>
    <x v="2"/>
  </r>
  <r>
    <s v="TX501969"/>
    <x v="7"/>
    <x v="9"/>
    <n v="80.8"/>
    <n v="404"/>
    <d v="2025-03-13T00:00:00"/>
    <d v="2025-03-21T00:00:00"/>
    <s v="O"/>
    <x v="1"/>
    <x v="1"/>
    <x v="0"/>
    <x v="19"/>
    <x v="9"/>
    <x v="10"/>
    <x v="3"/>
  </r>
  <r>
    <s v="TX501970"/>
    <x v="2"/>
    <x v="2"/>
    <n v="123.1"/>
    <n v="369.29999999999995"/>
    <d v="2025-03-13T00:00:00"/>
    <d v="2025-03-15T00:00:00"/>
    <s v=""/>
    <x v="2"/>
    <x v="0"/>
    <x v="0"/>
    <x v="21"/>
    <x v="1"/>
    <x v="10"/>
    <x v="0"/>
  </r>
  <r>
    <s v="TX501971"/>
    <x v="8"/>
    <x v="1"/>
    <n v="36.9"/>
    <n v="73.8"/>
    <d v="2025-03-13T00:00:00"/>
    <d v="2025-03-15T00:00:00"/>
    <s v="F"/>
    <x v="2"/>
    <x v="4"/>
    <x v="0"/>
    <x v="51"/>
    <x v="1"/>
    <x v="10"/>
    <x v="2"/>
  </r>
  <r>
    <s v="TX501972"/>
    <x v="11"/>
    <x v="9"/>
    <n v="40"/>
    <n v="200"/>
    <d v="2025-03-13T00:00:00"/>
    <d v="2025-03-14T00:00:00"/>
    <s v="M"/>
    <x v="0"/>
    <x v="0"/>
    <x v="0"/>
    <x v="1"/>
    <x v="3"/>
    <x v="10"/>
    <x v="1"/>
  </r>
  <r>
    <s v="TX501973"/>
    <x v="6"/>
    <x v="2"/>
    <n v="55.5"/>
    <n v="166.5"/>
    <d v="2025-03-13T00:00:00"/>
    <d v="2025-03-14T00:00:00"/>
    <s v="M"/>
    <x v="4"/>
    <x v="2"/>
    <x v="0"/>
    <x v="1"/>
    <x v="3"/>
    <x v="10"/>
    <x v="1"/>
  </r>
  <r>
    <s v="TX501974"/>
    <x v="0"/>
    <x v="12"/>
    <n v="20.5"/>
    <n v="82"/>
    <d v="2025-03-13T00:00:00"/>
    <d v="2025-03-17T00:00:00"/>
    <s v="F"/>
    <x v="4"/>
    <x v="0"/>
    <x v="0"/>
    <x v="1"/>
    <x v="5"/>
    <x v="10"/>
    <x v="2"/>
  </r>
  <r>
    <s v="TX501975"/>
    <x v="18"/>
    <x v="12"/>
    <n v="50.1"/>
    <n v="200.4"/>
    <d v="2025-03-13T00:00:00"/>
    <d v="2025-03-14T00:00:00"/>
    <s v="F"/>
    <x v="4"/>
    <x v="0"/>
    <x v="0"/>
    <x v="1"/>
    <x v="3"/>
    <x v="10"/>
    <x v="2"/>
  </r>
  <r>
    <s v="TX501976"/>
    <x v="9"/>
    <x v="0"/>
    <n v="35.9"/>
    <n v="35.9"/>
    <d v="2025-03-13T00:00:00"/>
    <d v="2025-03-15T00:00:00"/>
    <s v="M"/>
    <x v="1"/>
    <x v="2"/>
    <x v="0"/>
    <x v="1"/>
    <x v="1"/>
    <x v="10"/>
    <x v="1"/>
  </r>
  <r>
    <s v="TX501977"/>
    <x v="13"/>
    <x v="12"/>
    <n v="29.4"/>
    <n v="117.6"/>
    <d v="2025-03-14T00:00:00"/>
    <d v="2025-03-15T00:00:00"/>
    <s v="M"/>
    <x v="2"/>
    <x v="2"/>
    <x v="0"/>
    <x v="33"/>
    <x v="3"/>
    <x v="10"/>
    <x v="1"/>
  </r>
  <r>
    <s v="TX501978"/>
    <x v="8"/>
    <x v="9"/>
    <n v="29.1"/>
    <n v="145.5"/>
    <d v="2025-03-14T00:00:00"/>
    <d v="2025-03-22T00:00:00"/>
    <s v="O"/>
    <x v="2"/>
    <x v="1"/>
    <x v="0"/>
    <x v="33"/>
    <x v="9"/>
    <x v="10"/>
    <x v="3"/>
  </r>
  <r>
    <s v="TX501979"/>
    <x v="8"/>
    <x v="2"/>
    <n v="33.5"/>
    <n v="100.5"/>
    <d v="2025-03-14T00:00:00"/>
    <d v="2025-03-26T00:00:00"/>
    <s v="M"/>
    <x v="0"/>
    <x v="2"/>
    <x v="0"/>
    <x v="22"/>
    <x v="13"/>
    <x v="10"/>
    <x v="1"/>
  </r>
  <r>
    <s v="TX501980"/>
    <x v="4"/>
    <x v="7"/>
    <n v="36"/>
    <n v="360"/>
    <d v="2025-03-14T00:00:00"/>
    <d v="2025-03-14T00:00:00"/>
    <s v="M"/>
    <x v="3"/>
    <x v="2"/>
    <x v="0"/>
    <x v="3"/>
    <x v="7"/>
    <x v="10"/>
    <x v="1"/>
  </r>
  <r>
    <s v="TX501981"/>
    <x v="16"/>
    <x v="2"/>
    <n v="57.3"/>
    <n v="171.89999999999998"/>
    <d v="2025-03-14T00:00:00"/>
    <d v="2025-03-18T00:00:00"/>
    <s v="F"/>
    <x v="0"/>
    <x v="2"/>
    <x v="0"/>
    <x v="3"/>
    <x v="5"/>
    <x v="10"/>
    <x v="2"/>
  </r>
  <r>
    <s v="TX501982"/>
    <x v="1"/>
    <x v="0"/>
    <n v="81.400000000000006"/>
    <n v="81.400000000000006"/>
    <d v="2025-03-14T00:00:00"/>
    <d v="2025-03-15T00:00:00"/>
    <s v="F"/>
    <x v="2"/>
    <x v="2"/>
    <x v="0"/>
    <x v="3"/>
    <x v="3"/>
    <x v="10"/>
    <x v="2"/>
  </r>
  <r>
    <s v="TX501983"/>
    <x v="10"/>
    <x v="1"/>
    <n v="35.299999999999997"/>
    <n v="70.599999999999994"/>
    <d v="2025-03-14T00:00:00"/>
    <d v="2025-03-18T00:00:00"/>
    <s v="M"/>
    <x v="0"/>
    <x v="2"/>
    <x v="0"/>
    <x v="3"/>
    <x v="5"/>
    <x v="10"/>
    <x v="1"/>
  </r>
  <r>
    <s v="TX501984"/>
    <x v="3"/>
    <x v="0"/>
    <n v="36.1"/>
    <n v="36.1"/>
    <d v="2025-03-14T00:00:00"/>
    <d v="2025-03-15T00:00:00"/>
    <s v="F"/>
    <x v="4"/>
    <x v="0"/>
    <x v="0"/>
    <x v="3"/>
    <x v="3"/>
    <x v="10"/>
    <x v="2"/>
  </r>
  <r>
    <s v="TX501985"/>
    <x v="1"/>
    <x v="1"/>
    <n v="36.700000000000003"/>
    <n v="73.400000000000006"/>
    <d v="2025-03-14T00:00:00"/>
    <d v="2025-03-16T00:00:00"/>
    <s v="F"/>
    <x v="0"/>
    <x v="2"/>
    <x v="0"/>
    <x v="3"/>
    <x v="1"/>
    <x v="10"/>
    <x v="2"/>
  </r>
  <r>
    <s v="TX501986"/>
    <x v="10"/>
    <x v="0"/>
    <n v="20.9"/>
    <n v="20.9"/>
    <d v="2025-03-14T00:00:00"/>
    <d v="2025-03-16T00:00:00"/>
    <s v="F"/>
    <x v="0"/>
    <x v="4"/>
    <x v="0"/>
    <x v="3"/>
    <x v="1"/>
    <x v="10"/>
    <x v="2"/>
  </r>
  <r>
    <s v="TX501987"/>
    <x v="12"/>
    <x v="2"/>
    <n v="58.8"/>
    <n v="176.39999999999998"/>
    <d v="2025-03-14T00:00:00"/>
    <d v="2025-03-18T00:00:00"/>
    <s v="M"/>
    <x v="0"/>
    <x v="2"/>
    <x v="0"/>
    <x v="25"/>
    <x v="5"/>
    <x v="10"/>
    <x v="1"/>
  </r>
  <r>
    <s v="TX501988"/>
    <x v="2"/>
    <x v="2"/>
    <n v="97.6"/>
    <n v="292.79999999999995"/>
    <d v="2025-03-15T00:00:00"/>
    <d v="2025-03-17T00:00:00"/>
    <s v=""/>
    <x v="0"/>
    <x v="0"/>
    <x v="0"/>
    <x v="6"/>
    <x v="1"/>
    <x v="10"/>
    <x v="0"/>
  </r>
  <r>
    <s v="TX501989"/>
    <x v="1"/>
    <x v="1"/>
    <n v="58.7"/>
    <n v="117.4"/>
    <d v="2025-03-15T00:00:00"/>
    <d v="2025-03-18T00:00:00"/>
    <s v="F"/>
    <x v="0"/>
    <x v="1"/>
    <x v="0"/>
    <x v="6"/>
    <x v="2"/>
    <x v="10"/>
    <x v="2"/>
  </r>
  <r>
    <s v="TX501990"/>
    <x v="6"/>
    <x v="9"/>
    <n v="71.900000000000006"/>
    <n v="359.5"/>
    <d v="2025-03-15T00:00:00"/>
    <d v="2025-03-16T00:00:00"/>
    <s v=""/>
    <x v="0"/>
    <x v="1"/>
    <x v="0"/>
    <x v="6"/>
    <x v="3"/>
    <x v="10"/>
    <x v="0"/>
  </r>
  <r>
    <s v="TX501991"/>
    <x v="1"/>
    <x v="1"/>
    <n v="62.4"/>
    <n v="124.8"/>
    <d v="2025-03-15T00:00:00"/>
    <d v="2025-03-17T00:00:00"/>
    <s v=""/>
    <x v="0"/>
    <x v="1"/>
    <x v="0"/>
    <x v="8"/>
    <x v="1"/>
    <x v="10"/>
    <x v="0"/>
  </r>
  <r>
    <s v="TX501992"/>
    <x v="6"/>
    <x v="27"/>
    <n v="53.8"/>
    <n v="860.8"/>
    <d v="2025-03-15T00:00:00"/>
    <d v="2025-03-16T00:00:00"/>
    <s v="F"/>
    <x v="1"/>
    <x v="0"/>
    <x v="0"/>
    <x v="8"/>
    <x v="3"/>
    <x v="10"/>
    <x v="2"/>
  </r>
  <r>
    <s v="TX501993"/>
    <x v="9"/>
    <x v="0"/>
    <n v="43.8"/>
    <n v="43.8"/>
    <d v="2025-03-15T00:00:00"/>
    <d v="2025-03-22T00:00:00"/>
    <s v="F"/>
    <x v="0"/>
    <x v="2"/>
    <x v="0"/>
    <x v="8"/>
    <x v="6"/>
    <x v="10"/>
    <x v="2"/>
  </r>
  <r>
    <s v="TX501994"/>
    <x v="5"/>
    <x v="2"/>
    <n v="53.6"/>
    <n v="160.80000000000001"/>
    <d v="2025-03-15T00:00:00"/>
    <d v="2025-03-16T00:00:00"/>
    <s v="M"/>
    <x v="3"/>
    <x v="0"/>
    <x v="0"/>
    <x v="8"/>
    <x v="3"/>
    <x v="10"/>
    <x v="1"/>
  </r>
  <r>
    <s v="TX501995"/>
    <x v="12"/>
    <x v="1"/>
    <n v="84.3"/>
    <n v="168.6"/>
    <d v="2025-03-15T00:00:00"/>
    <d v="2025-03-18T00:00:00"/>
    <s v="M"/>
    <x v="4"/>
    <x v="1"/>
    <x v="0"/>
    <x v="8"/>
    <x v="2"/>
    <x v="10"/>
    <x v="1"/>
  </r>
  <r>
    <s v="TX501996"/>
    <x v="6"/>
    <x v="11"/>
    <n v="117.9"/>
    <n v="1061.1000000000001"/>
    <d v="2025-03-15T00:00:00"/>
    <d v="2025-03-16T00:00:00"/>
    <s v="F"/>
    <x v="1"/>
    <x v="2"/>
    <x v="0"/>
    <x v="8"/>
    <x v="3"/>
    <x v="10"/>
    <x v="2"/>
  </r>
  <r>
    <s v="TX501997"/>
    <x v="4"/>
    <x v="8"/>
    <n v="30"/>
    <n v="240"/>
    <d v="2025-03-15T00:00:00"/>
    <d v="2025-03-16T00:00:00"/>
    <s v="F"/>
    <x v="1"/>
    <x v="0"/>
    <x v="0"/>
    <x v="26"/>
    <x v="3"/>
    <x v="10"/>
    <x v="2"/>
  </r>
  <r>
    <s v="TX501998"/>
    <x v="14"/>
    <x v="2"/>
    <n v="37.299999999999997"/>
    <n v="111.89999999999999"/>
    <d v="2025-03-15T00:00:00"/>
    <d v="2025-03-16T00:00:00"/>
    <s v="M"/>
    <x v="2"/>
    <x v="0"/>
    <x v="0"/>
    <x v="9"/>
    <x v="3"/>
    <x v="10"/>
    <x v="1"/>
  </r>
  <r>
    <s v="TX501999"/>
    <x v="4"/>
    <x v="11"/>
    <n v="25.1"/>
    <n v="225.9"/>
    <d v="2025-03-15T00:00:00"/>
    <d v="2025-03-17T00:00:00"/>
    <s v="M"/>
    <x v="1"/>
    <x v="2"/>
    <x v="0"/>
    <x v="11"/>
    <x v="1"/>
    <x v="10"/>
    <x v="1"/>
  </r>
  <r>
    <s v="TX502000"/>
    <x v="8"/>
    <x v="5"/>
    <n v="36"/>
    <n v="396"/>
    <d v="2025-03-15T00:00:00"/>
    <d v="2025-03-25T00:00:00"/>
    <s v="M"/>
    <x v="1"/>
    <x v="0"/>
    <x v="0"/>
    <x v="18"/>
    <x v="14"/>
    <x v="10"/>
    <x v="1"/>
  </r>
  <r>
    <s v="TX502001"/>
    <x v="16"/>
    <x v="2"/>
    <n v="48.5"/>
    <n v="145.5"/>
    <d v="2025-03-15T00:00:00"/>
    <d v="2025-03-19T00:00:00"/>
    <s v="F"/>
    <x v="1"/>
    <x v="0"/>
    <x v="0"/>
    <x v="19"/>
    <x v="5"/>
    <x v="10"/>
    <x v="2"/>
  </r>
  <r>
    <s v="TX502002"/>
    <x v="17"/>
    <x v="13"/>
    <n v="21.1"/>
    <n v="126.60000000000001"/>
    <d v="2025-03-15T00:00:00"/>
    <d v="2025-03-16T00:00:00"/>
    <s v="M"/>
    <x v="1"/>
    <x v="2"/>
    <x v="0"/>
    <x v="21"/>
    <x v="3"/>
    <x v="10"/>
    <x v="1"/>
  </r>
  <r>
    <s v="TX502003"/>
    <x v="15"/>
    <x v="21"/>
    <n v="43.2"/>
    <n v="604.80000000000007"/>
    <d v="2025-03-15T00:00:00"/>
    <d v="2025-03-16T00:00:00"/>
    <s v="O"/>
    <x v="0"/>
    <x v="1"/>
    <x v="0"/>
    <x v="21"/>
    <x v="3"/>
    <x v="10"/>
    <x v="3"/>
  </r>
  <r>
    <s v="TX502004"/>
    <x v="9"/>
    <x v="1"/>
    <n v="21.1"/>
    <n v="42.2"/>
    <d v="2025-03-15T00:00:00"/>
    <d v="2025-03-16T00:00:00"/>
    <s v=""/>
    <x v="3"/>
    <x v="1"/>
    <x v="0"/>
    <x v="21"/>
    <x v="3"/>
    <x v="10"/>
    <x v="0"/>
  </r>
  <r>
    <s v="TX502005"/>
    <x v="6"/>
    <x v="12"/>
    <n v="41.3"/>
    <n v="165.2"/>
    <d v="2025-03-15T00:00:00"/>
    <d v="2025-03-17T00:00:00"/>
    <s v="F"/>
    <x v="3"/>
    <x v="2"/>
    <x v="0"/>
    <x v="1"/>
    <x v="1"/>
    <x v="10"/>
    <x v="2"/>
  </r>
  <r>
    <s v="TX502006"/>
    <x v="8"/>
    <x v="1"/>
    <n v="15.3"/>
    <n v="30.6"/>
    <d v="2025-03-15T00:00:00"/>
    <d v="2025-03-18T00:00:00"/>
    <s v=""/>
    <x v="2"/>
    <x v="2"/>
    <x v="0"/>
    <x v="1"/>
    <x v="2"/>
    <x v="10"/>
    <x v="0"/>
  </r>
  <r>
    <s v="TX502007"/>
    <x v="1"/>
    <x v="0"/>
    <n v="54.6"/>
    <n v="54.6"/>
    <d v="2025-03-15T00:00:00"/>
    <d v="2025-03-17T00:00:00"/>
    <s v="M"/>
    <x v="1"/>
    <x v="1"/>
    <x v="0"/>
    <x v="2"/>
    <x v="1"/>
    <x v="10"/>
    <x v="1"/>
  </r>
  <r>
    <s v="TX502008"/>
    <x v="8"/>
    <x v="0"/>
    <n v="15.9"/>
    <n v="15.9"/>
    <d v="2025-03-15T00:00:00"/>
    <d v="2025-03-16T00:00:00"/>
    <s v="M"/>
    <x v="0"/>
    <x v="1"/>
    <x v="0"/>
    <x v="22"/>
    <x v="3"/>
    <x v="10"/>
    <x v="1"/>
  </r>
  <r>
    <s v="TX502009"/>
    <x v="9"/>
    <x v="0"/>
    <n v="50.2"/>
    <n v="50.2"/>
    <d v="2025-03-15T00:00:00"/>
    <d v="2025-03-17T00:00:00"/>
    <s v="F"/>
    <x v="3"/>
    <x v="2"/>
    <x v="0"/>
    <x v="34"/>
    <x v="1"/>
    <x v="10"/>
    <x v="2"/>
  </r>
  <r>
    <s v="TX502010"/>
    <x v="11"/>
    <x v="12"/>
    <n v="85.1"/>
    <n v="340.4"/>
    <d v="2025-03-15T00:00:00"/>
    <d v="2025-03-16T00:00:00"/>
    <s v="F"/>
    <x v="3"/>
    <x v="4"/>
    <x v="0"/>
    <x v="34"/>
    <x v="3"/>
    <x v="10"/>
    <x v="2"/>
  </r>
  <r>
    <s v="TX502011"/>
    <x v="11"/>
    <x v="1"/>
    <n v="41.4"/>
    <n v="82.8"/>
    <d v="2025-03-15T00:00:00"/>
    <d v="2025-03-16T00:00:00"/>
    <s v="F"/>
    <x v="0"/>
    <x v="2"/>
    <x v="0"/>
    <x v="3"/>
    <x v="3"/>
    <x v="10"/>
    <x v="2"/>
  </r>
  <r>
    <s v="TX502012"/>
    <x v="4"/>
    <x v="3"/>
    <n v="32.700000000000003"/>
    <n v="228.90000000000003"/>
    <d v="2025-03-15T00:00:00"/>
    <d v="2025-03-16T00:00:00"/>
    <s v="F"/>
    <x v="2"/>
    <x v="1"/>
    <x v="0"/>
    <x v="3"/>
    <x v="3"/>
    <x v="10"/>
    <x v="2"/>
  </r>
  <r>
    <s v="TX502013"/>
    <x v="4"/>
    <x v="1"/>
    <n v="41.6"/>
    <n v="83.2"/>
    <d v="2025-03-15T00:00:00"/>
    <d v="2025-03-17T00:00:00"/>
    <s v="M"/>
    <x v="4"/>
    <x v="1"/>
    <x v="0"/>
    <x v="3"/>
    <x v="1"/>
    <x v="10"/>
    <x v="1"/>
  </r>
  <r>
    <s v="TX502014"/>
    <x v="5"/>
    <x v="12"/>
    <n v="64.8"/>
    <n v="259.2"/>
    <d v="2025-03-15T00:00:00"/>
    <d v="2025-03-16T00:00:00"/>
    <s v=""/>
    <x v="2"/>
    <x v="0"/>
    <x v="0"/>
    <x v="3"/>
    <x v="3"/>
    <x v="10"/>
    <x v="0"/>
  </r>
  <r>
    <s v="TX502015"/>
    <x v="15"/>
    <x v="1"/>
    <n v="33.6"/>
    <n v="67.2"/>
    <d v="2025-03-15T00:00:00"/>
    <d v="2025-03-16T00:00:00"/>
    <s v="M"/>
    <x v="0"/>
    <x v="2"/>
    <x v="0"/>
    <x v="3"/>
    <x v="3"/>
    <x v="10"/>
    <x v="1"/>
  </r>
  <r>
    <s v="TX502016"/>
    <x v="6"/>
    <x v="2"/>
    <n v="100.7"/>
    <n v="302.10000000000002"/>
    <d v="2025-03-15T00:00:00"/>
    <d v="2025-03-16T00:00:00"/>
    <s v=""/>
    <x v="1"/>
    <x v="0"/>
    <x v="0"/>
    <x v="3"/>
    <x v="3"/>
    <x v="10"/>
    <x v="0"/>
  </r>
  <r>
    <s v="TX502017"/>
    <x v="4"/>
    <x v="1"/>
    <n v="49.3"/>
    <n v="98.6"/>
    <d v="2025-03-16T00:00:00"/>
    <d v="2025-03-18T00:00:00"/>
    <s v="F"/>
    <x v="4"/>
    <x v="2"/>
    <x v="0"/>
    <x v="3"/>
    <x v="1"/>
    <x v="11"/>
    <x v="2"/>
  </r>
  <r>
    <s v="TX502018"/>
    <x v="2"/>
    <x v="13"/>
    <n v="97"/>
    <n v="582"/>
    <d v="2025-03-16T00:00:00"/>
    <d v="2025-03-19T00:00:00"/>
    <s v="M"/>
    <x v="2"/>
    <x v="2"/>
    <x v="0"/>
    <x v="3"/>
    <x v="2"/>
    <x v="11"/>
    <x v="1"/>
  </r>
  <r>
    <s v="TX502019"/>
    <x v="0"/>
    <x v="13"/>
    <n v="25.2"/>
    <n v="151.19999999999999"/>
    <d v="2025-03-16T00:00:00"/>
    <d v="2025-03-19T00:00:00"/>
    <s v="F"/>
    <x v="4"/>
    <x v="2"/>
    <x v="0"/>
    <x v="3"/>
    <x v="2"/>
    <x v="11"/>
    <x v="2"/>
  </r>
  <r>
    <s v="TX502020"/>
    <x v="0"/>
    <x v="5"/>
    <n v="12.2"/>
    <n v="134.19999999999999"/>
    <d v="2025-03-16T00:00:00"/>
    <d v="2025-03-17T00:00:00"/>
    <s v=""/>
    <x v="0"/>
    <x v="1"/>
    <x v="0"/>
    <x v="3"/>
    <x v="3"/>
    <x v="11"/>
    <x v="0"/>
  </r>
  <r>
    <s v="TX502021"/>
    <x v="8"/>
    <x v="3"/>
    <n v="38.799999999999997"/>
    <n v="271.59999999999997"/>
    <d v="2025-03-16T00:00:00"/>
    <d v="2025-03-18T00:00:00"/>
    <s v="F"/>
    <x v="1"/>
    <x v="1"/>
    <x v="0"/>
    <x v="23"/>
    <x v="1"/>
    <x v="11"/>
    <x v="2"/>
  </r>
  <r>
    <s v="TX502022"/>
    <x v="2"/>
    <x v="12"/>
    <n v="53.2"/>
    <n v="212.8"/>
    <d v="2025-03-16T00:00:00"/>
    <d v="2025-03-17T00:00:00"/>
    <s v="M"/>
    <x v="0"/>
    <x v="2"/>
    <x v="0"/>
    <x v="8"/>
    <x v="3"/>
    <x v="11"/>
    <x v="1"/>
  </r>
  <r>
    <s v="TX502023"/>
    <x v="6"/>
    <x v="3"/>
    <n v="151"/>
    <n v="1057"/>
    <d v="2025-03-16T00:00:00"/>
    <d v="2025-03-17T00:00:00"/>
    <s v="O"/>
    <x v="1"/>
    <x v="1"/>
    <x v="0"/>
    <x v="8"/>
    <x v="3"/>
    <x v="11"/>
    <x v="3"/>
  </r>
  <r>
    <s v="TX502024"/>
    <x v="1"/>
    <x v="1"/>
    <n v="37.1"/>
    <n v="74.2"/>
    <d v="2025-03-16T00:00:00"/>
    <d v="2025-03-17T00:00:00"/>
    <s v="F"/>
    <x v="4"/>
    <x v="0"/>
    <x v="0"/>
    <x v="8"/>
    <x v="3"/>
    <x v="11"/>
    <x v="2"/>
  </r>
  <r>
    <s v="TX502025"/>
    <x v="5"/>
    <x v="1"/>
    <n v="38.9"/>
    <n v="77.8"/>
    <d v="2025-03-16T00:00:00"/>
    <d v="2025-03-17T00:00:00"/>
    <s v="M"/>
    <x v="4"/>
    <x v="0"/>
    <x v="0"/>
    <x v="8"/>
    <x v="3"/>
    <x v="11"/>
    <x v="1"/>
  </r>
  <r>
    <s v="TX502026"/>
    <x v="10"/>
    <x v="1"/>
    <n v="35.200000000000003"/>
    <n v="70.400000000000006"/>
    <d v="2025-03-16T00:00:00"/>
    <d v="2025-03-17T00:00:00"/>
    <s v="M"/>
    <x v="0"/>
    <x v="2"/>
    <x v="0"/>
    <x v="17"/>
    <x v="3"/>
    <x v="11"/>
    <x v="1"/>
  </r>
  <r>
    <s v="TX502027"/>
    <x v="0"/>
    <x v="1"/>
    <n v="22.3"/>
    <n v="44.6"/>
    <d v="2025-03-16T00:00:00"/>
    <d v="2025-03-18T00:00:00"/>
    <s v="F"/>
    <x v="1"/>
    <x v="0"/>
    <x v="0"/>
    <x v="9"/>
    <x v="1"/>
    <x v="11"/>
    <x v="2"/>
  </r>
  <r>
    <s v="TX502028"/>
    <x v="9"/>
    <x v="0"/>
    <n v="43.3"/>
    <n v="43.3"/>
    <d v="2025-03-16T00:00:00"/>
    <d v="2025-03-19T00:00:00"/>
    <s v="F"/>
    <x v="0"/>
    <x v="2"/>
    <x v="0"/>
    <x v="11"/>
    <x v="2"/>
    <x v="11"/>
    <x v="2"/>
  </r>
  <r>
    <s v="TX502029"/>
    <x v="6"/>
    <x v="13"/>
    <n v="75.900000000000006"/>
    <n v="455.40000000000003"/>
    <d v="2025-03-16T00:00:00"/>
    <d v="2025-03-22T00:00:00"/>
    <s v="M"/>
    <x v="0"/>
    <x v="0"/>
    <x v="0"/>
    <x v="11"/>
    <x v="4"/>
    <x v="11"/>
    <x v="1"/>
  </r>
  <r>
    <s v="TX502030"/>
    <x v="6"/>
    <x v="2"/>
    <n v="78.7"/>
    <n v="236.10000000000002"/>
    <d v="2025-03-16T00:00:00"/>
    <d v="2025-03-20T00:00:00"/>
    <s v="F"/>
    <x v="2"/>
    <x v="1"/>
    <x v="0"/>
    <x v="11"/>
    <x v="5"/>
    <x v="11"/>
    <x v="2"/>
  </r>
  <r>
    <s v="TX502031"/>
    <x v="1"/>
    <x v="0"/>
    <n v="66.3"/>
    <n v="66.3"/>
    <d v="2025-03-16T00:00:00"/>
    <d v="2025-03-20T00:00:00"/>
    <s v="F"/>
    <x v="0"/>
    <x v="2"/>
    <x v="0"/>
    <x v="19"/>
    <x v="5"/>
    <x v="11"/>
    <x v="2"/>
  </r>
  <r>
    <s v="TX502032"/>
    <x v="8"/>
    <x v="1"/>
    <n v="33.6"/>
    <n v="67.2"/>
    <d v="2025-03-16T00:00:00"/>
    <d v="2025-03-16T00:00:00"/>
    <s v="M"/>
    <x v="0"/>
    <x v="1"/>
    <x v="0"/>
    <x v="19"/>
    <x v="7"/>
    <x v="11"/>
    <x v="1"/>
  </r>
  <r>
    <s v="TX502033"/>
    <x v="2"/>
    <x v="3"/>
    <n v="61.4"/>
    <n v="429.8"/>
    <d v="2025-03-16T00:00:00"/>
    <d v="2025-03-17T00:00:00"/>
    <s v="M"/>
    <x v="4"/>
    <x v="0"/>
    <x v="0"/>
    <x v="19"/>
    <x v="3"/>
    <x v="11"/>
    <x v="1"/>
  </r>
  <r>
    <s v="TX502034"/>
    <x v="8"/>
    <x v="1"/>
    <n v="17.5"/>
    <n v="35"/>
    <d v="2025-03-16T00:00:00"/>
    <d v="2025-03-19T00:00:00"/>
    <s v="F"/>
    <x v="0"/>
    <x v="0"/>
    <x v="0"/>
    <x v="21"/>
    <x v="2"/>
    <x v="11"/>
    <x v="2"/>
  </r>
  <r>
    <s v="TX502035"/>
    <x v="8"/>
    <x v="1"/>
    <n v="32.5"/>
    <n v="65"/>
    <d v="2025-03-16T00:00:00"/>
    <d v="2025-03-19T00:00:00"/>
    <s v="F"/>
    <x v="1"/>
    <x v="0"/>
    <x v="0"/>
    <x v="21"/>
    <x v="2"/>
    <x v="11"/>
    <x v="2"/>
  </r>
  <r>
    <s v="TX502036"/>
    <x v="4"/>
    <x v="0"/>
    <n v="34.6"/>
    <n v="34.6"/>
    <d v="2025-03-16T00:00:00"/>
    <d v="2025-03-17T00:00:00"/>
    <s v="F"/>
    <x v="4"/>
    <x v="0"/>
    <x v="0"/>
    <x v="21"/>
    <x v="3"/>
    <x v="11"/>
    <x v="2"/>
  </r>
  <r>
    <s v="TX502037"/>
    <x v="2"/>
    <x v="0"/>
    <n v="75.900000000000006"/>
    <n v="75.900000000000006"/>
    <d v="2025-03-16T00:00:00"/>
    <d v="2025-03-16T00:00:00"/>
    <s v="M"/>
    <x v="1"/>
    <x v="2"/>
    <x v="0"/>
    <x v="21"/>
    <x v="7"/>
    <x v="11"/>
    <x v="1"/>
  </r>
  <r>
    <s v="TX502038"/>
    <x v="1"/>
    <x v="2"/>
    <n v="42.1"/>
    <n v="126.30000000000001"/>
    <d v="2025-03-16T00:00:00"/>
    <d v="2025-03-19T00:00:00"/>
    <s v="M"/>
    <x v="1"/>
    <x v="1"/>
    <x v="0"/>
    <x v="21"/>
    <x v="2"/>
    <x v="11"/>
    <x v="1"/>
  </r>
  <r>
    <s v="TX502039"/>
    <x v="7"/>
    <x v="2"/>
    <n v="65.3"/>
    <n v="195.89999999999998"/>
    <d v="2025-03-16T00:00:00"/>
    <d v="2025-03-23T00:00:00"/>
    <s v="M"/>
    <x v="0"/>
    <x v="0"/>
    <x v="0"/>
    <x v="1"/>
    <x v="6"/>
    <x v="11"/>
    <x v="1"/>
  </r>
  <r>
    <s v="TX502040"/>
    <x v="15"/>
    <x v="0"/>
    <n v="20.6"/>
    <n v="20.6"/>
    <d v="2025-03-16T00:00:00"/>
    <d v="2025-03-19T00:00:00"/>
    <s v="M"/>
    <x v="3"/>
    <x v="0"/>
    <x v="0"/>
    <x v="42"/>
    <x v="2"/>
    <x v="11"/>
    <x v="1"/>
  </r>
  <r>
    <s v="TX502041"/>
    <x v="8"/>
    <x v="3"/>
    <n v="16.5"/>
    <n v="115.5"/>
    <d v="2025-03-16T00:00:00"/>
    <d v="2025-03-17T00:00:00"/>
    <s v="M"/>
    <x v="1"/>
    <x v="1"/>
    <x v="0"/>
    <x v="2"/>
    <x v="3"/>
    <x v="11"/>
    <x v="1"/>
  </r>
  <r>
    <s v="TX502042"/>
    <x v="16"/>
    <x v="7"/>
    <n v="36.200000000000003"/>
    <n v="362"/>
    <d v="2025-03-16T00:00:00"/>
    <d v="2025-03-18T00:00:00"/>
    <s v="M"/>
    <x v="0"/>
    <x v="2"/>
    <x v="0"/>
    <x v="2"/>
    <x v="1"/>
    <x v="11"/>
    <x v="1"/>
  </r>
  <r>
    <s v="TX502043"/>
    <x v="6"/>
    <x v="0"/>
    <n v="53.2"/>
    <n v="53.2"/>
    <d v="2025-03-16T00:00:00"/>
    <d v="2025-03-17T00:00:00"/>
    <s v="F"/>
    <x v="0"/>
    <x v="1"/>
    <x v="0"/>
    <x v="22"/>
    <x v="3"/>
    <x v="11"/>
    <x v="2"/>
  </r>
  <r>
    <s v="TX502044"/>
    <x v="2"/>
    <x v="21"/>
    <n v="176"/>
    <n v="2464"/>
    <d v="2025-03-16T00:00:00"/>
    <d v="2025-03-17T00:00:00"/>
    <s v="F"/>
    <x v="0"/>
    <x v="1"/>
    <x v="0"/>
    <x v="3"/>
    <x v="3"/>
    <x v="11"/>
    <x v="2"/>
  </r>
  <r>
    <s v="TX502045"/>
    <x v="1"/>
    <x v="0"/>
    <n v="52.4"/>
    <n v="52.4"/>
    <d v="2025-03-16T00:00:00"/>
    <d v="2025-03-17T00:00:00"/>
    <s v="M"/>
    <x v="1"/>
    <x v="0"/>
    <x v="0"/>
    <x v="3"/>
    <x v="3"/>
    <x v="11"/>
    <x v="1"/>
  </r>
  <r>
    <s v="TX502046"/>
    <x v="10"/>
    <x v="2"/>
    <n v="48.2"/>
    <n v="144.60000000000002"/>
    <d v="2025-03-16T00:00:00"/>
    <d v="2025-03-17T00:00:00"/>
    <s v="F"/>
    <x v="1"/>
    <x v="2"/>
    <x v="0"/>
    <x v="3"/>
    <x v="3"/>
    <x v="11"/>
    <x v="2"/>
  </r>
  <r>
    <s v="TX502047"/>
    <x v="15"/>
    <x v="0"/>
    <n v="51.6"/>
    <n v="51.6"/>
    <d v="2025-03-16T00:00:00"/>
    <d v="2025-03-20T00:00:00"/>
    <s v="F"/>
    <x v="2"/>
    <x v="1"/>
    <x v="0"/>
    <x v="3"/>
    <x v="5"/>
    <x v="11"/>
    <x v="2"/>
  </r>
  <r>
    <s v="TX502048"/>
    <x v="0"/>
    <x v="12"/>
    <n v="33.700000000000003"/>
    <n v="134.80000000000001"/>
    <d v="2025-03-17T00:00:00"/>
    <d v="2025-03-18T00:00:00"/>
    <s v="M"/>
    <x v="0"/>
    <x v="0"/>
    <x v="0"/>
    <x v="3"/>
    <x v="3"/>
    <x v="11"/>
    <x v="1"/>
  </r>
  <r>
    <s v="TX502049"/>
    <x v="4"/>
    <x v="7"/>
    <n v="36.299999999999997"/>
    <n v="363"/>
    <d v="2025-03-17T00:00:00"/>
    <d v="2025-03-19T00:00:00"/>
    <s v="F"/>
    <x v="4"/>
    <x v="1"/>
    <x v="0"/>
    <x v="3"/>
    <x v="1"/>
    <x v="11"/>
    <x v="2"/>
  </r>
  <r>
    <s v="TX502050"/>
    <x v="8"/>
    <x v="0"/>
    <n v="23.4"/>
    <n v="23.4"/>
    <d v="2025-03-17T00:00:00"/>
    <d v="2025-03-22T00:00:00"/>
    <s v="F"/>
    <x v="1"/>
    <x v="2"/>
    <x v="0"/>
    <x v="3"/>
    <x v="0"/>
    <x v="11"/>
    <x v="2"/>
  </r>
  <r>
    <s v="TX502051"/>
    <x v="15"/>
    <x v="8"/>
    <n v="56.6"/>
    <n v="452.8"/>
    <d v="2025-03-17T00:00:00"/>
    <d v="2025-03-19T00:00:00"/>
    <s v="F"/>
    <x v="1"/>
    <x v="0"/>
    <x v="0"/>
    <x v="3"/>
    <x v="1"/>
    <x v="11"/>
    <x v="2"/>
  </r>
  <r>
    <s v="TX502052"/>
    <x v="15"/>
    <x v="1"/>
    <n v="26.8"/>
    <n v="53.6"/>
    <d v="2025-03-17T00:00:00"/>
    <d v="2025-03-18T00:00:00"/>
    <s v="M"/>
    <x v="0"/>
    <x v="0"/>
    <x v="0"/>
    <x v="4"/>
    <x v="3"/>
    <x v="11"/>
    <x v="1"/>
  </r>
  <r>
    <s v="TX502053"/>
    <x v="0"/>
    <x v="2"/>
    <n v="11.3"/>
    <n v="33.900000000000006"/>
    <d v="2025-03-17T00:00:00"/>
    <d v="2025-03-19T00:00:00"/>
    <s v="M"/>
    <x v="2"/>
    <x v="0"/>
    <x v="0"/>
    <x v="25"/>
    <x v="1"/>
    <x v="11"/>
    <x v="1"/>
  </r>
  <r>
    <s v="TX502054"/>
    <x v="6"/>
    <x v="2"/>
    <n v="60.1"/>
    <n v="180.3"/>
    <d v="2025-03-17T00:00:00"/>
    <d v="2025-03-20T00:00:00"/>
    <s v="F"/>
    <x v="0"/>
    <x v="0"/>
    <x v="0"/>
    <x v="7"/>
    <x v="2"/>
    <x v="11"/>
    <x v="2"/>
  </r>
  <r>
    <s v="TX502055"/>
    <x v="0"/>
    <x v="5"/>
    <n v="27.7"/>
    <n v="304.7"/>
    <d v="2025-03-17T00:00:00"/>
    <d v="2025-03-22T00:00:00"/>
    <s v="F"/>
    <x v="0"/>
    <x v="0"/>
    <x v="0"/>
    <x v="8"/>
    <x v="0"/>
    <x v="11"/>
    <x v="2"/>
  </r>
  <r>
    <s v="TX502056"/>
    <x v="15"/>
    <x v="0"/>
    <n v="71.400000000000006"/>
    <n v="71.400000000000006"/>
    <d v="2025-03-17T00:00:00"/>
    <d v="2025-03-20T00:00:00"/>
    <s v="M"/>
    <x v="0"/>
    <x v="2"/>
    <x v="0"/>
    <x v="8"/>
    <x v="2"/>
    <x v="11"/>
    <x v="1"/>
  </r>
  <r>
    <s v="TX502057"/>
    <x v="2"/>
    <x v="1"/>
    <n v="66.7"/>
    <n v="133.4"/>
    <d v="2025-03-17T00:00:00"/>
    <d v="2025-03-18T00:00:00"/>
    <s v="F"/>
    <x v="0"/>
    <x v="2"/>
    <x v="0"/>
    <x v="8"/>
    <x v="3"/>
    <x v="11"/>
    <x v="2"/>
  </r>
  <r>
    <s v="TX502058"/>
    <x v="13"/>
    <x v="9"/>
    <n v="39.1"/>
    <n v="195.5"/>
    <d v="2025-03-17T00:00:00"/>
    <d v="2025-03-18T00:00:00"/>
    <s v="F"/>
    <x v="0"/>
    <x v="0"/>
    <x v="0"/>
    <x v="8"/>
    <x v="3"/>
    <x v="11"/>
    <x v="2"/>
  </r>
  <r>
    <s v="TX502059"/>
    <x v="8"/>
    <x v="12"/>
    <n v="24.9"/>
    <n v="99.6"/>
    <d v="2025-03-17T00:00:00"/>
    <d v="2025-03-22T00:00:00"/>
    <s v="M"/>
    <x v="1"/>
    <x v="2"/>
    <x v="0"/>
    <x v="8"/>
    <x v="0"/>
    <x v="11"/>
    <x v="1"/>
  </r>
  <r>
    <s v="TX502060"/>
    <x v="5"/>
    <x v="9"/>
    <n v="29.2"/>
    <n v="146"/>
    <d v="2025-03-17T00:00:00"/>
    <d v="2025-03-18T00:00:00"/>
    <s v="M"/>
    <x v="0"/>
    <x v="2"/>
    <x v="0"/>
    <x v="17"/>
    <x v="3"/>
    <x v="11"/>
    <x v="1"/>
  </r>
  <r>
    <s v="TX502061"/>
    <x v="13"/>
    <x v="21"/>
    <n v="28.3"/>
    <n v="396.2"/>
    <d v="2025-03-17T00:00:00"/>
    <d v="2025-03-19T00:00:00"/>
    <s v="F"/>
    <x v="1"/>
    <x v="0"/>
    <x v="0"/>
    <x v="11"/>
    <x v="1"/>
    <x v="11"/>
    <x v="2"/>
  </r>
  <r>
    <s v="TX502062"/>
    <x v="9"/>
    <x v="2"/>
    <n v="37.799999999999997"/>
    <n v="113.39999999999999"/>
    <d v="2025-03-17T00:00:00"/>
    <d v="2025-03-18T00:00:00"/>
    <s v="F"/>
    <x v="0"/>
    <x v="1"/>
    <x v="0"/>
    <x v="11"/>
    <x v="3"/>
    <x v="11"/>
    <x v="2"/>
  </r>
  <r>
    <s v="TX502063"/>
    <x v="14"/>
    <x v="3"/>
    <n v="28.1"/>
    <n v="196.70000000000002"/>
    <d v="2025-03-17T00:00:00"/>
    <d v="2025-03-23T00:00:00"/>
    <s v="F"/>
    <x v="2"/>
    <x v="0"/>
    <x v="0"/>
    <x v="11"/>
    <x v="4"/>
    <x v="11"/>
    <x v="2"/>
  </r>
  <r>
    <s v="TX502064"/>
    <x v="1"/>
    <x v="2"/>
    <n v="59.7"/>
    <n v="179.10000000000002"/>
    <d v="2025-03-17T00:00:00"/>
    <d v="2025-03-19T00:00:00"/>
    <s v="F"/>
    <x v="2"/>
    <x v="0"/>
    <x v="0"/>
    <x v="11"/>
    <x v="1"/>
    <x v="11"/>
    <x v="2"/>
  </r>
  <r>
    <s v="TX502065"/>
    <x v="16"/>
    <x v="0"/>
    <n v="71.900000000000006"/>
    <n v="71.900000000000006"/>
    <d v="2025-03-17T00:00:00"/>
    <d v="2025-03-18T00:00:00"/>
    <s v="M"/>
    <x v="1"/>
    <x v="1"/>
    <x v="0"/>
    <x v="11"/>
    <x v="3"/>
    <x v="11"/>
    <x v="1"/>
  </r>
  <r>
    <s v="TX502066"/>
    <x v="1"/>
    <x v="1"/>
    <n v="56.9"/>
    <n v="113.8"/>
    <d v="2025-03-17T00:00:00"/>
    <d v="2025-03-18T00:00:00"/>
    <s v="M"/>
    <x v="2"/>
    <x v="0"/>
    <x v="0"/>
    <x v="13"/>
    <x v="3"/>
    <x v="11"/>
    <x v="1"/>
  </r>
  <r>
    <s v="TX502067"/>
    <x v="8"/>
    <x v="1"/>
    <n v="15.8"/>
    <n v="31.6"/>
    <d v="2025-03-17T00:00:00"/>
    <d v="2025-03-20T00:00:00"/>
    <s v="F"/>
    <x v="2"/>
    <x v="1"/>
    <x v="0"/>
    <x v="1"/>
    <x v="2"/>
    <x v="11"/>
    <x v="2"/>
  </r>
  <r>
    <s v="TX502068"/>
    <x v="11"/>
    <x v="12"/>
    <n v="61.7"/>
    <n v="246.8"/>
    <d v="2025-03-17T00:00:00"/>
    <d v="2025-03-19T00:00:00"/>
    <s v="F"/>
    <x v="2"/>
    <x v="0"/>
    <x v="0"/>
    <x v="22"/>
    <x v="1"/>
    <x v="11"/>
    <x v="2"/>
  </r>
  <r>
    <s v="TX502069"/>
    <x v="2"/>
    <x v="7"/>
    <n v="105.2"/>
    <n v="1052"/>
    <d v="2025-03-17T00:00:00"/>
    <d v="2025-03-19T00:00:00"/>
    <s v="M"/>
    <x v="1"/>
    <x v="4"/>
    <x v="0"/>
    <x v="3"/>
    <x v="1"/>
    <x v="11"/>
    <x v="1"/>
  </r>
  <r>
    <s v="TX502070"/>
    <x v="0"/>
    <x v="1"/>
    <n v="17"/>
    <n v="34"/>
    <d v="2025-03-17T00:00:00"/>
    <d v="2025-03-19T00:00:00"/>
    <s v="F"/>
    <x v="2"/>
    <x v="0"/>
    <x v="0"/>
    <x v="3"/>
    <x v="1"/>
    <x v="11"/>
    <x v="2"/>
  </r>
  <r>
    <s v="TX502071"/>
    <x v="6"/>
    <x v="2"/>
    <n v="84.1"/>
    <n v="252.29999999999998"/>
    <d v="2025-03-17T00:00:00"/>
    <d v="2025-03-18T00:00:00"/>
    <s v="M"/>
    <x v="2"/>
    <x v="0"/>
    <x v="0"/>
    <x v="3"/>
    <x v="3"/>
    <x v="11"/>
    <x v="1"/>
  </r>
  <r>
    <s v="TX502072"/>
    <x v="3"/>
    <x v="12"/>
    <n v="59.5"/>
    <n v="238"/>
    <d v="2025-03-17T00:00:00"/>
    <d v="2025-03-22T00:00:00"/>
    <s v="M"/>
    <x v="0"/>
    <x v="2"/>
    <x v="0"/>
    <x v="3"/>
    <x v="0"/>
    <x v="11"/>
    <x v="1"/>
  </r>
  <r>
    <s v="TX502073"/>
    <x v="8"/>
    <x v="1"/>
    <n v="57.5"/>
    <n v="115"/>
    <d v="2025-03-17T00:00:00"/>
    <d v="2025-03-19T00:00:00"/>
    <s v="M"/>
    <x v="1"/>
    <x v="2"/>
    <x v="0"/>
    <x v="3"/>
    <x v="1"/>
    <x v="11"/>
    <x v="1"/>
  </r>
  <r>
    <s v="TX502074"/>
    <x v="8"/>
    <x v="0"/>
    <n v="34.299999999999997"/>
    <n v="34.299999999999997"/>
    <d v="2025-03-17T00:00:00"/>
    <d v="2025-03-18T00:00:00"/>
    <s v="F"/>
    <x v="4"/>
    <x v="2"/>
    <x v="0"/>
    <x v="3"/>
    <x v="3"/>
    <x v="11"/>
    <x v="2"/>
  </r>
  <r>
    <s v="TX502075"/>
    <x v="5"/>
    <x v="1"/>
    <n v="27.8"/>
    <n v="55.6"/>
    <d v="2025-03-18T00:00:00"/>
    <d v="2025-03-20T00:00:00"/>
    <s v="F"/>
    <x v="0"/>
    <x v="0"/>
    <x v="0"/>
    <x v="3"/>
    <x v="1"/>
    <x v="11"/>
    <x v="2"/>
  </r>
  <r>
    <s v="TX502076"/>
    <x v="12"/>
    <x v="1"/>
    <n v="85"/>
    <n v="170"/>
    <d v="2025-03-18T00:00:00"/>
    <d v="2025-03-18T00:00:00"/>
    <s v="M"/>
    <x v="2"/>
    <x v="2"/>
    <x v="0"/>
    <x v="3"/>
    <x v="7"/>
    <x v="11"/>
    <x v="1"/>
  </r>
  <r>
    <s v="TX502077"/>
    <x v="6"/>
    <x v="1"/>
    <n v="95"/>
    <n v="190"/>
    <d v="2025-03-18T00:00:00"/>
    <d v="2025-03-20T00:00:00"/>
    <s v="F"/>
    <x v="0"/>
    <x v="0"/>
    <x v="0"/>
    <x v="3"/>
    <x v="1"/>
    <x v="11"/>
    <x v="2"/>
  </r>
  <r>
    <s v="TX502078"/>
    <x v="16"/>
    <x v="1"/>
    <n v="32"/>
    <n v="64"/>
    <d v="2025-03-18T00:00:00"/>
    <d v="2025-03-20T00:00:00"/>
    <s v="M"/>
    <x v="0"/>
    <x v="1"/>
    <x v="0"/>
    <x v="3"/>
    <x v="1"/>
    <x v="11"/>
    <x v="1"/>
  </r>
  <r>
    <s v="TX502079"/>
    <x v="2"/>
    <x v="1"/>
    <n v="65.2"/>
    <n v="130.4"/>
    <d v="2025-03-18T00:00:00"/>
    <d v="2025-03-19T00:00:00"/>
    <s v="F"/>
    <x v="1"/>
    <x v="0"/>
    <x v="0"/>
    <x v="3"/>
    <x v="3"/>
    <x v="11"/>
    <x v="2"/>
  </r>
  <r>
    <s v="TX502080"/>
    <x v="17"/>
    <x v="12"/>
    <n v="22"/>
    <n v="88"/>
    <d v="2025-03-18T00:00:00"/>
    <d v="2025-03-19T00:00:00"/>
    <s v="M"/>
    <x v="1"/>
    <x v="2"/>
    <x v="0"/>
    <x v="3"/>
    <x v="3"/>
    <x v="11"/>
    <x v="1"/>
  </r>
  <r>
    <s v="TX502081"/>
    <x v="15"/>
    <x v="2"/>
    <n v="69.400000000000006"/>
    <n v="208.20000000000002"/>
    <d v="2025-03-18T00:00:00"/>
    <d v="2025-03-21T00:00:00"/>
    <s v="M"/>
    <x v="1"/>
    <x v="2"/>
    <x v="0"/>
    <x v="3"/>
    <x v="2"/>
    <x v="11"/>
    <x v="1"/>
  </r>
  <r>
    <s v="TX502082"/>
    <x v="10"/>
    <x v="13"/>
    <n v="31.5"/>
    <n v="189"/>
    <d v="2025-03-18T00:00:00"/>
    <d v="2025-03-20T00:00:00"/>
    <s v="F"/>
    <x v="0"/>
    <x v="2"/>
    <x v="0"/>
    <x v="3"/>
    <x v="1"/>
    <x v="11"/>
    <x v="2"/>
  </r>
  <r>
    <s v="TX502083"/>
    <x v="6"/>
    <x v="0"/>
    <n v="45.8"/>
    <n v="45.8"/>
    <d v="2025-03-18T00:00:00"/>
    <d v="2025-03-22T00:00:00"/>
    <s v="O"/>
    <x v="0"/>
    <x v="0"/>
    <x v="0"/>
    <x v="3"/>
    <x v="5"/>
    <x v="11"/>
    <x v="3"/>
  </r>
  <r>
    <s v="TX502084"/>
    <x v="19"/>
    <x v="12"/>
    <n v="12.8"/>
    <n v="51.2"/>
    <d v="2025-03-18T00:00:00"/>
    <d v="2025-03-25T00:00:00"/>
    <s v="F"/>
    <x v="1"/>
    <x v="1"/>
    <x v="0"/>
    <x v="5"/>
    <x v="6"/>
    <x v="11"/>
    <x v="2"/>
  </r>
  <r>
    <s v="TX502085"/>
    <x v="5"/>
    <x v="2"/>
    <n v="115.3"/>
    <n v="345.9"/>
    <d v="2025-03-18T00:00:00"/>
    <d v="2025-03-19T00:00:00"/>
    <s v="F"/>
    <x v="2"/>
    <x v="2"/>
    <x v="0"/>
    <x v="6"/>
    <x v="3"/>
    <x v="11"/>
    <x v="2"/>
  </r>
  <r>
    <s v="TX502086"/>
    <x v="5"/>
    <x v="1"/>
    <n v="85"/>
    <n v="170"/>
    <d v="2025-03-18T00:00:00"/>
    <d v="2025-03-20T00:00:00"/>
    <s v="F"/>
    <x v="1"/>
    <x v="0"/>
    <x v="0"/>
    <x v="7"/>
    <x v="1"/>
    <x v="11"/>
    <x v="2"/>
  </r>
  <r>
    <s v="TX502087"/>
    <x v="8"/>
    <x v="2"/>
    <n v="56.6"/>
    <n v="169.8"/>
    <d v="2025-03-18T00:00:00"/>
    <d v="2025-03-19T00:00:00"/>
    <s v="F"/>
    <x v="1"/>
    <x v="2"/>
    <x v="0"/>
    <x v="7"/>
    <x v="3"/>
    <x v="11"/>
    <x v="2"/>
  </r>
  <r>
    <s v="TX502088"/>
    <x v="15"/>
    <x v="6"/>
    <n v="46.3"/>
    <n v="1250.0999999999999"/>
    <d v="2025-03-18T00:00:00"/>
    <d v="2025-03-21T00:00:00"/>
    <s v="M"/>
    <x v="0"/>
    <x v="0"/>
    <x v="0"/>
    <x v="7"/>
    <x v="2"/>
    <x v="11"/>
    <x v="1"/>
  </r>
  <r>
    <s v="TX502089"/>
    <x v="14"/>
    <x v="12"/>
    <n v="23"/>
    <n v="92"/>
    <d v="2025-03-18T00:00:00"/>
    <d v="2025-03-22T00:00:00"/>
    <s v="M"/>
    <x v="3"/>
    <x v="2"/>
    <x v="0"/>
    <x v="7"/>
    <x v="5"/>
    <x v="11"/>
    <x v="1"/>
  </r>
  <r>
    <s v="TX502090"/>
    <x v="8"/>
    <x v="13"/>
    <n v="42.1"/>
    <n v="252.60000000000002"/>
    <d v="2025-03-18T00:00:00"/>
    <d v="2025-03-20T00:00:00"/>
    <s v="M"/>
    <x v="4"/>
    <x v="0"/>
    <x v="0"/>
    <x v="8"/>
    <x v="1"/>
    <x v="11"/>
    <x v="1"/>
  </r>
  <r>
    <s v="TX502091"/>
    <x v="5"/>
    <x v="3"/>
    <n v="57.4"/>
    <n v="401.8"/>
    <d v="2025-03-18T00:00:00"/>
    <d v="2025-03-22T00:00:00"/>
    <s v="F"/>
    <x v="1"/>
    <x v="4"/>
    <x v="0"/>
    <x v="8"/>
    <x v="5"/>
    <x v="11"/>
    <x v="2"/>
  </r>
  <r>
    <s v="TX502092"/>
    <x v="0"/>
    <x v="13"/>
    <n v="13.2"/>
    <n v="79.199999999999989"/>
    <d v="2025-03-18T00:00:00"/>
    <d v="2025-03-22T00:00:00"/>
    <s v="M"/>
    <x v="2"/>
    <x v="0"/>
    <x v="0"/>
    <x v="8"/>
    <x v="5"/>
    <x v="11"/>
    <x v="1"/>
  </r>
  <r>
    <s v="TX502093"/>
    <x v="6"/>
    <x v="2"/>
    <n v="52.3"/>
    <n v="156.89999999999998"/>
    <d v="2025-03-18T00:00:00"/>
    <d v="2025-03-19T00:00:00"/>
    <s v="M"/>
    <x v="1"/>
    <x v="0"/>
    <x v="0"/>
    <x v="8"/>
    <x v="3"/>
    <x v="11"/>
    <x v="1"/>
  </r>
  <r>
    <s v="TX502094"/>
    <x v="8"/>
    <x v="1"/>
    <n v="15.7"/>
    <n v="31.4"/>
    <d v="2025-03-18T00:00:00"/>
    <d v="2025-03-21T00:00:00"/>
    <s v="M"/>
    <x v="1"/>
    <x v="2"/>
    <x v="0"/>
    <x v="8"/>
    <x v="2"/>
    <x v="11"/>
    <x v="1"/>
  </r>
  <r>
    <s v="TX502095"/>
    <x v="7"/>
    <x v="2"/>
    <n v="35"/>
    <n v="105"/>
    <d v="2025-03-18T00:00:00"/>
    <d v="2025-03-21T00:00:00"/>
    <s v="F"/>
    <x v="1"/>
    <x v="2"/>
    <x v="0"/>
    <x v="9"/>
    <x v="2"/>
    <x v="11"/>
    <x v="2"/>
  </r>
  <r>
    <s v="TX502096"/>
    <x v="4"/>
    <x v="2"/>
    <n v="26.6"/>
    <n v="79.800000000000011"/>
    <d v="2025-03-18T00:00:00"/>
    <d v="2025-03-18T00:00:00"/>
    <s v="M"/>
    <x v="1"/>
    <x v="2"/>
    <x v="0"/>
    <x v="11"/>
    <x v="7"/>
    <x v="11"/>
    <x v="1"/>
  </r>
  <r>
    <s v="TX502097"/>
    <x v="4"/>
    <x v="8"/>
    <n v="47.9"/>
    <n v="383.2"/>
    <d v="2025-03-19T00:00:00"/>
    <d v="2025-03-20T00:00:00"/>
    <s v="F"/>
    <x v="3"/>
    <x v="2"/>
    <x v="0"/>
    <x v="20"/>
    <x v="3"/>
    <x v="11"/>
    <x v="2"/>
  </r>
  <r>
    <s v="TX502098"/>
    <x v="5"/>
    <x v="0"/>
    <n v="80.099999999999994"/>
    <n v="80.099999999999994"/>
    <d v="2025-03-19T00:00:00"/>
    <d v="2025-03-20T00:00:00"/>
    <s v="M"/>
    <x v="2"/>
    <x v="0"/>
    <x v="0"/>
    <x v="21"/>
    <x v="3"/>
    <x v="11"/>
    <x v="1"/>
  </r>
  <r>
    <s v="TX502099"/>
    <x v="6"/>
    <x v="9"/>
    <n v="50.4"/>
    <n v="252"/>
    <d v="2025-03-19T00:00:00"/>
    <d v="2025-03-20T00:00:00"/>
    <s v="M"/>
    <x v="1"/>
    <x v="2"/>
    <x v="0"/>
    <x v="21"/>
    <x v="3"/>
    <x v="11"/>
    <x v="1"/>
  </r>
  <r>
    <s v="TX502100"/>
    <x v="10"/>
    <x v="3"/>
    <n v="43.3"/>
    <n v="303.09999999999997"/>
    <d v="2025-03-19T00:00:00"/>
    <d v="2025-03-20T00:00:00"/>
    <s v="M"/>
    <x v="2"/>
    <x v="0"/>
    <x v="0"/>
    <x v="21"/>
    <x v="3"/>
    <x v="11"/>
    <x v="1"/>
  </r>
  <r>
    <s v="TX502101"/>
    <x v="10"/>
    <x v="12"/>
    <n v="57.5"/>
    <n v="230"/>
    <d v="2025-03-19T00:00:00"/>
    <d v="2025-03-20T00:00:00"/>
    <s v="F"/>
    <x v="1"/>
    <x v="2"/>
    <x v="0"/>
    <x v="1"/>
    <x v="3"/>
    <x v="11"/>
    <x v="2"/>
  </r>
  <r>
    <s v="TX502102"/>
    <x v="9"/>
    <x v="15"/>
    <n v="24.8"/>
    <n v="322.40000000000003"/>
    <d v="2025-03-19T00:00:00"/>
    <d v="2025-03-20T00:00:00"/>
    <s v="M"/>
    <x v="0"/>
    <x v="0"/>
    <x v="0"/>
    <x v="57"/>
    <x v="3"/>
    <x v="11"/>
    <x v="1"/>
  </r>
  <r>
    <s v="TX502103"/>
    <x v="2"/>
    <x v="11"/>
    <n v="85.7"/>
    <n v="771.30000000000007"/>
    <d v="2025-03-19T00:00:00"/>
    <d v="2025-03-20T00:00:00"/>
    <s v="F"/>
    <x v="0"/>
    <x v="0"/>
    <x v="0"/>
    <x v="42"/>
    <x v="3"/>
    <x v="11"/>
    <x v="2"/>
  </r>
  <r>
    <s v="TX502104"/>
    <x v="7"/>
    <x v="0"/>
    <n v="47.1"/>
    <n v="47.1"/>
    <d v="2025-03-19T00:00:00"/>
    <d v="2025-03-21T00:00:00"/>
    <s v="F"/>
    <x v="0"/>
    <x v="0"/>
    <x v="0"/>
    <x v="2"/>
    <x v="1"/>
    <x v="11"/>
    <x v="2"/>
  </r>
  <r>
    <s v="TX502105"/>
    <x v="5"/>
    <x v="7"/>
    <n v="83.2"/>
    <n v="832"/>
    <d v="2025-03-19T00:00:00"/>
    <d v="2025-03-23T00:00:00"/>
    <s v="F"/>
    <x v="0"/>
    <x v="0"/>
    <x v="0"/>
    <x v="33"/>
    <x v="5"/>
    <x v="11"/>
    <x v="2"/>
  </r>
  <r>
    <s v="TX502106"/>
    <x v="2"/>
    <x v="2"/>
    <n v="157"/>
    <n v="471"/>
    <d v="2025-03-19T00:00:00"/>
    <d v="2025-03-21T00:00:00"/>
    <s v="F"/>
    <x v="0"/>
    <x v="2"/>
    <x v="0"/>
    <x v="22"/>
    <x v="1"/>
    <x v="11"/>
    <x v="2"/>
  </r>
  <r>
    <s v="TX502107"/>
    <x v="16"/>
    <x v="12"/>
    <n v="33.700000000000003"/>
    <n v="134.80000000000001"/>
    <d v="2025-03-19T00:00:00"/>
    <d v="2025-03-20T00:00:00"/>
    <s v="M"/>
    <x v="2"/>
    <x v="2"/>
    <x v="0"/>
    <x v="22"/>
    <x v="3"/>
    <x v="11"/>
    <x v="1"/>
  </r>
  <r>
    <s v="TX502108"/>
    <x v="2"/>
    <x v="2"/>
    <n v="60.8"/>
    <n v="182.39999999999998"/>
    <d v="2025-03-19T00:00:00"/>
    <d v="2025-03-23T00:00:00"/>
    <s v="F"/>
    <x v="1"/>
    <x v="1"/>
    <x v="0"/>
    <x v="3"/>
    <x v="5"/>
    <x v="11"/>
    <x v="2"/>
  </r>
  <r>
    <s v="TX502109"/>
    <x v="7"/>
    <x v="0"/>
    <n v="57.6"/>
    <n v="57.6"/>
    <d v="2025-03-19T00:00:00"/>
    <d v="2025-03-20T00:00:00"/>
    <s v="M"/>
    <x v="1"/>
    <x v="4"/>
    <x v="0"/>
    <x v="3"/>
    <x v="3"/>
    <x v="11"/>
    <x v="1"/>
  </r>
  <r>
    <s v="TX502110"/>
    <x v="10"/>
    <x v="0"/>
    <n v="32"/>
    <n v="32"/>
    <d v="2025-03-19T00:00:00"/>
    <d v="2025-03-21T00:00:00"/>
    <s v="M"/>
    <x v="0"/>
    <x v="0"/>
    <x v="0"/>
    <x v="3"/>
    <x v="1"/>
    <x v="11"/>
    <x v="1"/>
  </r>
  <r>
    <s v="TX502111"/>
    <x v="10"/>
    <x v="12"/>
    <n v="23.5"/>
    <n v="94"/>
    <d v="2025-03-19T00:00:00"/>
    <d v="2025-03-20T00:00:00"/>
    <s v="F"/>
    <x v="0"/>
    <x v="2"/>
    <x v="0"/>
    <x v="3"/>
    <x v="3"/>
    <x v="11"/>
    <x v="2"/>
  </r>
  <r>
    <s v="TX502112"/>
    <x v="12"/>
    <x v="2"/>
    <n v="44.8"/>
    <n v="134.39999999999998"/>
    <d v="2025-03-19T00:00:00"/>
    <d v="2025-03-20T00:00:00"/>
    <s v="O"/>
    <x v="4"/>
    <x v="0"/>
    <x v="0"/>
    <x v="3"/>
    <x v="3"/>
    <x v="11"/>
    <x v="3"/>
  </r>
  <r>
    <s v="TX502113"/>
    <x v="0"/>
    <x v="8"/>
    <n v="11.7"/>
    <n v="93.6"/>
    <d v="2025-03-19T00:00:00"/>
    <d v="2025-03-20T00:00:00"/>
    <s v="M"/>
    <x v="2"/>
    <x v="2"/>
    <x v="0"/>
    <x v="3"/>
    <x v="3"/>
    <x v="11"/>
    <x v="1"/>
  </r>
  <r>
    <s v="TX502114"/>
    <x v="7"/>
    <x v="1"/>
    <n v="38.799999999999997"/>
    <n v="77.599999999999994"/>
    <d v="2025-03-19T00:00:00"/>
    <d v="2025-03-22T00:00:00"/>
    <s v="F"/>
    <x v="2"/>
    <x v="0"/>
    <x v="0"/>
    <x v="3"/>
    <x v="2"/>
    <x v="11"/>
    <x v="2"/>
  </r>
  <r>
    <s v="TX502115"/>
    <x v="5"/>
    <x v="21"/>
    <n v="86.9"/>
    <n v="1216.6000000000001"/>
    <d v="2025-03-19T00:00:00"/>
    <d v="2025-03-24T00:00:00"/>
    <s v="F"/>
    <x v="1"/>
    <x v="0"/>
    <x v="0"/>
    <x v="3"/>
    <x v="0"/>
    <x v="11"/>
    <x v="2"/>
  </r>
  <r>
    <s v="TX502116"/>
    <x v="8"/>
    <x v="0"/>
    <n v="18.3"/>
    <n v="18.3"/>
    <d v="2025-03-19T00:00:00"/>
    <d v="2025-03-20T00:00:00"/>
    <s v="F"/>
    <x v="0"/>
    <x v="0"/>
    <x v="0"/>
    <x v="3"/>
    <x v="3"/>
    <x v="11"/>
    <x v="2"/>
  </r>
  <r>
    <s v="TX502117"/>
    <x v="5"/>
    <x v="0"/>
    <n v="47.5"/>
    <n v="47.5"/>
    <d v="2025-03-19T00:00:00"/>
    <d v="2025-03-23T00:00:00"/>
    <s v="M"/>
    <x v="4"/>
    <x v="2"/>
    <x v="0"/>
    <x v="3"/>
    <x v="5"/>
    <x v="11"/>
    <x v="1"/>
  </r>
  <r>
    <s v="TX502118"/>
    <x v="1"/>
    <x v="1"/>
    <n v="78.599999999999994"/>
    <n v="157.19999999999999"/>
    <d v="2025-03-19T00:00:00"/>
    <d v="2025-03-20T00:00:00"/>
    <s v="M"/>
    <x v="2"/>
    <x v="2"/>
    <x v="0"/>
    <x v="3"/>
    <x v="3"/>
    <x v="11"/>
    <x v="1"/>
  </r>
  <r>
    <s v="TX502119"/>
    <x v="6"/>
    <x v="12"/>
    <n v="87.3"/>
    <n v="349.2"/>
    <d v="2025-03-19T00:00:00"/>
    <d v="2025-03-20T00:00:00"/>
    <s v="M"/>
    <x v="0"/>
    <x v="0"/>
    <x v="0"/>
    <x v="3"/>
    <x v="3"/>
    <x v="11"/>
    <x v="1"/>
  </r>
  <r>
    <s v="TX502120"/>
    <x v="9"/>
    <x v="1"/>
    <n v="63.2"/>
    <n v="126.4"/>
    <d v="2025-03-19T00:00:00"/>
    <d v="2025-03-19T00:00:00"/>
    <s v="M"/>
    <x v="4"/>
    <x v="1"/>
    <x v="0"/>
    <x v="3"/>
    <x v="7"/>
    <x v="11"/>
    <x v="1"/>
  </r>
  <r>
    <s v="TX502121"/>
    <x v="5"/>
    <x v="9"/>
    <n v="33.700000000000003"/>
    <n v="168.5"/>
    <d v="2025-03-19T00:00:00"/>
    <d v="2025-03-20T00:00:00"/>
    <s v="F"/>
    <x v="0"/>
    <x v="0"/>
    <x v="0"/>
    <x v="3"/>
    <x v="3"/>
    <x v="11"/>
    <x v="2"/>
  </r>
  <r>
    <s v="TX502122"/>
    <x v="2"/>
    <x v="2"/>
    <n v="107.4"/>
    <n v="322.20000000000005"/>
    <d v="2025-03-19T00:00:00"/>
    <d v="2025-04-01T00:00:00"/>
    <s v="F"/>
    <x v="1"/>
    <x v="2"/>
    <x v="0"/>
    <x v="3"/>
    <x v="10"/>
    <x v="11"/>
    <x v="2"/>
  </r>
  <r>
    <s v="TX502123"/>
    <x v="4"/>
    <x v="12"/>
    <n v="22.2"/>
    <n v="88.8"/>
    <d v="2025-03-19T00:00:00"/>
    <d v="2025-03-20T00:00:00"/>
    <s v=""/>
    <x v="1"/>
    <x v="2"/>
    <x v="0"/>
    <x v="24"/>
    <x v="3"/>
    <x v="11"/>
    <x v="0"/>
  </r>
  <r>
    <s v="TX502124"/>
    <x v="18"/>
    <x v="2"/>
    <n v="52.8"/>
    <n v="158.39999999999998"/>
    <d v="2025-03-19T00:00:00"/>
    <d v="2025-03-20T00:00:00"/>
    <s v="M"/>
    <x v="3"/>
    <x v="2"/>
    <x v="0"/>
    <x v="24"/>
    <x v="3"/>
    <x v="11"/>
    <x v="1"/>
  </r>
  <r>
    <s v="TX502125"/>
    <x v="8"/>
    <x v="2"/>
    <n v="41.5"/>
    <n v="124.5"/>
    <d v="2025-03-19T00:00:00"/>
    <d v="2025-03-22T00:00:00"/>
    <s v="F"/>
    <x v="0"/>
    <x v="0"/>
    <x v="0"/>
    <x v="25"/>
    <x v="2"/>
    <x v="11"/>
    <x v="2"/>
  </r>
  <r>
    <s v="TX502126"/>
    <x v="12"/>
    <x v="8"/>
    <n v="103.5"/>
    <n v="828"/>
    <d v="2025-03-19T00:00:00"/>
    <d v="2025-03-22T00:00:00"/>
    <s v="F"/>
    <x v="0"/>
    <x v="2"/>
    <x v="0"/>
    <x v="23"/>
    <x v="2"/>
    <x v="11"/>
    <x v="2"/>
  </r>
  <r>
    <s v="TX502127"/>
    <x v="4"/>
    <x v="21"/>
    <n v="37.5"/>
    <n v="525"/>
    <d v="2025-03-19T00:00:00"/>
    <d v="2025-03-19T00:00:00"/>
    <s v="F"/>
    <x v="1"/>
    <x v="2"/>
    <x v="0"/>
    <x v="6"/>
    <x v="7"/>
    <x v="11"/>
    <x v="2"/>
  </r>
  <r>
    <s v="TX502128"/>
    <x v="15"/>
    <x v="8"/>
    <n v="44.4"/>
    <n v="355.2"/>
    <d v="2025-03-19T00:00:00"/>
    <d v="2025-03-25T00:00:00"/>
    <s v="F"/>
    <x v="3"/>
    <x v="2"/>
    <x v="0"/>
    <x v="7"/>
    <x v="4"/>
    <x v="11"/>
    <x v="2"/>
  </r>
  <r>
    <s v="TX502129"/>
    <x v="8"/>
    <x v="2"/>
    <n v="26.2"/>
    <n v="78.599999999999994"/>
    <d v="2025-03-19T00:00:00"/>
    <d v="2025-03-20T00:00:00"/>
    <s v="M"/>
    <x v="0"/>
    <x v="0"/>
    <x v="0"/>
    <x v="8"/>
    <x v="3"/>
    <x v="11"/>
    <x v="1"/>
  </r>
  <r>
    <s v="TX502130"/>
    <x v="1"/>
    <x v="3"/>
    <n v="32.200000000000003"/>
    <n v="225.40000000000003"/>
    <d v="2025-03-19T00:00:00"/>
    <d v="2025-03-20T00:00:00"/>
    <s v="F"/>
    <x v="1"/>
    <x v="2"/>
    <x v="0"/>
    <x v="8"/>
    <x v="3"/>
    <x v="11"/>
    <x v="2"/>
  </r>
  <r>
    <s v="TX502131"/>
    <x v="8"/>
    <x v="0"/>
    <n v="17.399999999999999"/>
    <n v="17.399999999999999"/>
    <d v="2025-03-19T00:00:00"/>
    <d v="2025-03-23T00:00:00"/>
    <s v=""/>
    <x v="2"/>
    <x v="1"/>
    <x v="0"/>
    <x v="8"/>
    <x v="5"/>
    <x v="11"/>
    <x v="0"/>
  </r>
  <r>
    <s v="TX502132"/>
    <x v="8"/>
    <x v="13"/>
    <n v="72.3"/>
    <n v="433.79999999999995"/>
    <d v="2025-03-19T00:00:00"/>
    <d v="2025-03-22T00:00:00"/>
    <s v="F"/>
    <x v="0"/>
    <x v="0"/>
    <x v="0"/>
    <x v="8"/>
    <x v="2"/>
    <x v="11"/>
    <x v="2"/>
  </r>
  <r>
    <s v="TX502133"/>
    <x v="8"/>
    <x v="5"/>
    <n v="24.3"/>
    <n v="267.3"/>
    <d v="2025-03-19T00:00:00"/>
    <d v="2025-03-20T00:00:00"/>
    <s v="M"/>
    <x v="0"/>
    <x v="0"/>
    <x v="0"/>
    <x v="8"/>
    <x v="3"/>
    <x v="11"/>
    <x v="1"/>
  </r>
  <r>
    <s v="TX502134"/>
    <x v="13"/>
    <x v="2"/>
    <n v="49.1"/>
    <n v="147.30000000000001"/>
    <d v="2025-03-19T00:00:00"/>
    <d v="2025-03-25T00:00:00"/>
    <s v="M"/>
    <x v="2"/>
    <x v="4"/>
    <x v="0"/>
    <x v="8"/>
    <x v="4"/>
    <x v="11"/>
    <x v="1"/>
  </r>
  <r>
    <s v="TX502135"/>
    <x v="2"/>
    <x v="7"/>
    <n v="234.7"/>
    <n v="2347"/>
    <d v="2025-03-19T00:00:00"/>
    <d v="2025-03-20T00:00:00"/>
    <s v="M"/>
    <x v="3"/>
    <x v="1"/>
    <x v="0"/>
    <x v="8"/>
    <x v="3"/>
    <x v="11"/>
    <x v="1"/>
  </r>
  <r>
    <s v="TX502136"/>
    <x v="3"/>
    <x v="9"/>
    <n v="76.099999999999994"/>
    <n v="380.5"/>
    <d v="2025-03-19T00:00:00"/>
    <d v="2025-03-21T00:00:00"/>
    <s v="M"/>
    <x v="1"/>
    <x v="1"/>
    <x v="0"/>
    <x v="17"/>
    <x v="1"/>
    <x v="11"/>
    <x v="1"/>
  </r>
  <r>
    <s v="TX502137"/>
    <x v="1"/>
    <x v="2"/>
    <n v="93.9"/>
    <n v="281.70000000000005"/>
    <d v="2025-03-19T00:00:00"/>
    <d v="2025-03-20T00:00:00"/>
    <s v="M"/>
    <x v="1"/>
    <x v="4"/>
    <x v="0"/>
    <x v="11"/>
    <x v="3"/>
    <x v="11"/>
    <x v="1"/>
  </r>
  <r>
    <s v="TX502138"/>
    <x v="2"/>
    <x v="12"/>
    <n v="187"/>
    <n v="748"/>
    <d v="2025-03-20T00:00:00"/>
    <d v="2025-03-23T00:00:00"/>
    <s v="M"/>
    <x v="0"/>
    <x v="0"/>
    <x v="0"/>
    <x v="11"/>
    <x v="2"/>
    <x v="11"/>
    <x v="1"/>
  </r>
  <r>
    <s v="TX502139"/>
    <x v="8"/>
    <x v="1"/>
    <n v="18"/>
    <n v="36"/>
    <d v="2025-03-20T00:00:00"/>
    <d v="2025-03-21T00:00:00"/>
    <s v="F"/>
    <x v="1"/>
    <x v="2"/>
    <x v="0"/>
    <x v="53"/>
    <x v="3"/>
    <x v="11"/>
    <x v="2"/>
  </r>
  <r>
    <s v="TX502140"/>
    <x v="4"/>
    <x v="0"/>
    <n v="24.4"/>
    <n v="24.4"/>
    <d v="2025-03-20T00:00:00"/>
    <d v="2025-03-21T00:00:00"/>
    <s v="F"/>
    <x v="4"/>
    <x v="2"/>
    <x v="0"/>
    <x v="21"/>
    <x v="3"/>
    <x v="11"/>
    <x v="2"/>
  </r>
  <r>
    <s v="TX502141"/>
    <x v="10"/>
    <x v="1"/>
    <n v="38.799999999999997"/>
    <n v="77.599999999999994"/>
    <d v="2025-03-20T00:00:00"/>
    <d v="2025-03-21T00:00:00"/>
    <s v="M"/>
    <x v="4"/>
    <x v="1"/>
    <x v="0"/>
    <x v="3"/>
    <x v="3"/>
    <x v="11"/>
    <x v="1"/>
  </r>
  <r>
    <s v="TX502142"/>
    <x v="3"/>
    <x v="0"/>
    <n v="59.7"/>
    <n v="59.7"/>
    <d v="2025-03-20T00:00:00"/>
    <d v="2025-03-23T00:00:00"/>
    <s v="M"/>
    <x v="3"/>
    <x v="0"/>
    <x v="0"/>
    <x v="3"/>
    <x v="2"/>
    <x v="11"/>
    <x v="1"/>
  </r>
  <r>
    <s v="TX502143"/>
    <x v="7"/>
    <x v="0"/>
    <n v="31.2"/>
    <n v="31.2"/>
    <d v="2025-03-20T00:00:00"/>
    <d v="2025-03-21T00:00:00"/>
    <s v="M"/>
    <x v="1"/>
    <x v="2"/>
    <x v="0"/>
    <x v="3"/>
    <x v="3"/>
    <x v="11"/>
    <x v="1"/>
  </r>
  <r>
    <s v="TX502144"/>
    <x v="0"/>
    <x v="0"/>
    <n v="16.8"/>
    <n v="16.8"/>
    <d v="2025-03-20T00:00:00"/>
    <d v="2025-03-21T00:00:00"/>
    <s v="F"/>
    <x v="2"/>
    <x v="1"/>
    <x v="0"/>
    <x v="3"/>
    <x v="3"/>
    <x v="11"/>
    <x v="2"/>
  </r>
  <r>
    <s v="TX502145"/>
    <x v="8"/>
    <x v="0"/>
    <n v="46"/>
    <n v="46"/>
    <d v="2025-03-20T00:00:00"/>
    <d v="2025-03-21T00:00:00"/>
    <s v="M"/>
    <x v="0"/>
    <x v="0"/>
    <x v="0"/>
    <x v="3"/>
    <x v="3"/>
    <x v="11"/>
    <x v="1"/>
  </r>
  <r>
    <s v="TX502146"/>
    <x v="9"/>
    <x v="8"/>
    <n v="42.2"/>
    <n v="337.6"/>
    <d v="2025-03-20T00:00:00"/>
    <d v="2025-03-23T00:00:00"/>
    <s v="F"/>
    <x v="3"/>
    <x v="2"/>
    <x v="0"/>
    <x v="3"/>
    <x v="2"/>
    <x v="11"/>
    <x v="2"/>
  </r>
  <r>
    <s v="TX502147"/>
    <x v="1"/>
    <x v="2"/>
    <n v="71.5"/>
    <n v="214.5"/>
    <d v="2025-03-20T00:00:00"/>
    <d v="2025-04-03T00:00:00"/>
    <s v="F"/>
    <x v="0"/>
    <x v="0"/>
    <x v="0"/>
    <x v="3"/>
    <x v="12"/>
    <x v="11"/>
    <x v="2"/>
  </r>
  <r>
    <s v="TX502148"/>
    <x v="1"/>
    <x v="1"/>
    <n v="76.599999999999994"/>
    <n v="153.19999999999999"/>
    <d v="2025-03-20T00:00:00"/>
    <d v="2025-03-20T00:00:00"/>
    <s v="M"/>
    <x v="0"/>
    <x v="2"/>
    <x v="0"/>
    <x v="3"/>
    <x v="7"/>
    <x v="11"/>
    <x v="1"/>
  </r>
  <r>
    <s v="TX502149"/>
    <x v="12"/>
    <x v="1"/>
    <n v="87.3"/>
    <n v="174.6"/>
    <d v="2025-03-20T00:00:00"/>
    <d v="2025-03-28T00:00:00"/>
    <s v="F"/>
    <x v="3"/>
    <x v="2"/>
    <x v="0"/>
    <x v="3"/>
    <x v="9"/>
    <x v="11"/>
    <x v="2"/>
  </r>
  <r>
    <s v="TX502150"/>
    <x v="1"/>
    <x v="0"/>
    <n v="63"/>
    <n v="63"/>
    <d v="2025-03-20T00:00:00"/>
    <d v="2025-03-23T00:00:00"/>
    <s v="M"/>
    <x v="3"/>
    <x v="0"/>
    <x v="0"/>
    <x v="3"/>
    <x v="2"/>
    <x v="11"/>
    <x v="1"/>
  </r>
  <r>
    <s v="TX502151"/>
    <x v="8"/>
    <x v="1"/>
    <n v="41.7"/>
    <n v="83.4"/>
    <d v="2025-03-20T00:00:00"/>
    <d v="2025-03-21T00:00:00"/>
    <s v="F"/>
    <x v="4"/>
    <x v="1"/>
    <x v="0"/>
    <x v="43"/>
    <x v="3"/>
    <x v="11"/>
    <x v="2"/>
  </r>
  <r>
    <s v="TX502152"/>
    <x v="6"/>
    <x v="1"/>
    <n v="76.099999999999994"/>
    <n v="152.19999999999999"/>
    <d v="2025-03-20T00:00:00"/>
    <d v="2025-03-20T00:00:00"/>
    <s v="F"/>
    <x v="4"/>
    <x v="2"/>
    <x v="0"/>
    <x v="16"/>
    <x v="7"/>
    <x v="11"/>
    <x v="2"/>
  </r>
  <r>
    <s v="TX502153"/>
    <x v="13"/>
    <x v="1"/>
    <n v="28.5"/>
    <n v="57"/>
    <d v="2025-03-20T00:00:00"/>
    <d v="2025-03-21T00:00:00"/>
    <s v="F"/>
    <x v="0"/>
    <x v="2"/>
    <x v="0"/>
    <x v="4"/>
    <x v="3"/>
    <x v="11"/>
    <x v="2"/>
  </r>
  <r>
    <s v="TX502154"/>
    <x v="0"/>
    <x v="12"/>
    <n v="32.1"/>
    <n v="128.4"/>
    <d v="2025-03-20T00:00:00"/>
    <d v="2025-03-21T00:00:00"/>
    <s v="F"/>
    <x v="1"/>
    <x v="2"/>
    <x v="0"/>
    <x v="25"/>
    <x v="3"/>
    <x v="11"/>
    <x v="2"/>
  </r>
  <r>
    <s v="TX502155"/>
    <x v="4"/>
    <x v="2"/>
    <n v="39"/>
    <n v="117"/>
    <d v="2025-03-20T00:00:00"/>
    <d v="2025-03-23T00:00:00"/>
    <s v="M"/>
    <x v="1"/>
    <x v="2"/>
    <x v="0"/>
    <x v="25"/>
    <x v="2"/>
    <x v="11"/>
    <x v="1"/>
  </r>
  <r>
    <s v="TX502156"/>
    <x v="6"/>
    <x v="0"/>
    <n v="78.5"/>
    <n v="78.5"/>
    <d v="2025-03-20T00:00:00"/>
    <d v="2025-03-21T00:00:00"/>
    <s v="M"/>
    <x v="1"/>
    <x v="0"/>
    <x v="0"/>
    <x v="6"/>
    <x v="3"/>
    <x v="11"/>
    <x v="1"/>
  </r>
  <r>
    <s v="TX502157"/>
    <x v="4"/>
    <x v="9"/>
    <n v="49.7"/>
    <n v="248.5"/>
    <d v="2025-03-20T00:00:00"/>
    <d v="2025-03-22T00:00:00"/>
    <s v="F"/>
    <x v="0"/>
    <x v="0"/>
    <x v="0"/>
    <x v="6"/>
    <x v="1"/>
    <x v="11"/>
    <x v="2"/>
  </r>
  <r>
    <s v="TX502158"/>
    <x v="1"/>
    <x v="12"/>
    <n v="68.400000000000006"/>
    <n v="273.60000000000002"/>
    <d v="2025-03-20T00:00:00"/>
    <d v="2025-03-21T00:00:00"/>
    <s v="F"/>
    <x v="2"/>
    <x v="2"/>
    <x v="0"/>
    <x v="7"/>
    <x v="3"/>
    <x v="11"/>
    <x v="2"/>
  </r>
  <r>
    <s v="TX502159"/>
    <x v="3"/>
    <x v="1"/>
    <n v="72.900000000000006"/>
    <n v="145.80000000000001"/>
    <d v="2025-03-20T00:00:00"/>
    <d v="2025-03-23T00:00:00"/>
    <s v=""/>
    <x v="0"/>
    <x v="2"/>
    <x v="0"/>
    <x v="7"/>
    <x v="2"/>
    <x v="11"/>
    <x v="0"/>
  </r>
  <r>
    <s v="TX502160"/>
    <x v="5"/>
    <x v="15"/>
    <n v="30.3"/>
    <n v="393.90000000000003"/>
    <d v="2025-03-20T00:00:00"/>
    <d v="2025-03-21T00:00:00"/>
    <s v="M"/>
    <x v="4"/>
    <x v="0"/>
    <x v="0"/>
    <x v="7"/>
    <x v="3"/>
    <x v="11"/>
    <x v="1"/>
  </r>
  <r>
    <s v="TX502161"/>
    <x v="6"/>
    <x v="5"/>
    <n v="57.9"/>
    <n v="636.9"/>
    <d v="2025-03-20T00:00:00"/>
    <d v="2025-03-21T00:00:00"/>
    <s v="F"/>
    <x v="0"/>
    <x v="0"/>
    <x v="0"/>
    <x v="8"/>
    <x v="3"/>
    <x v="11"/>
    <x v="2"/>
  </r>
  <r>
    <s v="TX502162"/>
    <x v="1"/>
    <x v="0"/>
    <n v="96.7"/>
    <n v="96.7"/>
    <d v="2025-03-20T00:00:00"/>
    <d v="2025-03-21T00:00:00"/>
    <s v="M"/>
    <x v="0"/>
    <x v="0"/>
    <x v="0"/>
    <x v="8"/>
    <x v="3"/>
    <x v="11"/>
    <x v="1"/>
  </r>
  <r>
    <s v="TX502163"/>
    <x v="8"/>
    <x v="4"/>
    <n v="27.6"/>
    <n v="331.20000000000005"/>
    <d v="2025-03-20T00:00:00"/>
    <d v="2025-03-22T00:00:00"/>
    <s v="M"/>
    <x v="2"/>
    <x v="2"/>
    <x v="0"/>
    <x v="8"/>
    <x v="1"/>
    <x v="11"/>
    <x v="1"/>
  </r>
  <r>
    <s v="TX502164"/>
    <x v="6"/>
    <x v="12"/>
    <n v="64.7"/>
    <n v="258.8"/>
    <d v="2025-03-20T00:00:00"/>
    <d v="2025-03-20T00:00:00"/>
    <s v="M"/>
    <x v="3"/>
    <x v="2"/>
    <x v="0"/>
    <x v="8"/>
    <x v="7"/>
    <x v="11"/>
    <x v="1"/>
  </r>
  <r>
    <s v="TX502165"/>
    <x v="10"/>
    <x v="13"/>
    <n v="30.5"/>
    <n v="183"/>
    <d v="2025-03-20T00:00:00"/>
    <d v="2025-03-21T00:00:00"/>
    <s v="M"/>
    <x v="4"/>
    <x v="0"/>
    <x v="0"/>
    <x v="8"/>
    <x v="3"/>
    <x v="11"/>
    <x v="1"/>
  </r>
  <r>
    <s v="TX502166"/>
    <x v="6"/>
    <x v="47"/>
    <n v="106"/>
    <n v="7420"/>
    <d v="2025-03-21T00:00:00"/>
    <d v="2025-03-23T00:00:00"/>
    <s v="M"/>
    <x v="4"/>
    <x v="2"/>
    <x v="0"/>
    <x v="8"/>
    <x v="1"/>
    <x v="11"/>
    <x v="1"/>
  </r>
  <r>
    <s v="TX502167"/>
    <x v="12"/>
    <x v="9"/>
    <n v="76.8"/>
    <n v="384"/>
    <d v="2025-03-21T00:00:00"/>
    <d v="2025-03-27T00:00:00"/>
    <s v=""/>
    <x v="1"/>
    <x v="1"/>
    <x v="0"/>
    <x v="18"/>
    <x v="4"/>
    <x v="11"/>
    <x v="0"/>
  </r>
  <r>
    <s v="TX502168"/>
    <x v="6"/>
    <x v="1"/>
    <n v="80.400000000000006"/>
    <n v="160.80000000000001"/>
    <d v="2025-03-21T00:00:00"/>
    <d v="2025-03-22T00:00:00"/>
    <s v="F"/>
    <x v="2"/>
    <x v="0"/>
    <x v="0"/>
    <x v="13"/>
    <x v="3"/>
    <x v="11"/>
    <x v="2"/>
  </r>
  <r>
    <s v="TX502169"/>
    <x v="6"/>
    <x v="12"/>
    <n v="69.099999999999994"/>
    <n v="276.39999999999998"/>
    <d v="2025-03-21T00:00:00"/>
    <d v="2025-03-22T00:00:00"/>
    <s v="M"/>
    <x v="1"/>
    <x v="2"/>
    <x v="0"/>
    <x v="21"/>
    <x v="3"/>
    <x v="11"/>
    <x v="1"/>
  </r>
  <r>
    <s v="TX502170"/>
    <x v="18"/>
    <x v="1"/>
    <n v="76.400000000000006"/>
    <n v="152.80000000000001"/>
    <d v="2025-03-21T00:00:00"/>
    <d v="2025-03-21T00:00:00"/>
    <s v="M"/>
    <x v="3"/>
    <x v="0"/>
    <x v="0"/>
    <x v="21"/>
    <x v="7"/>
    <x v="11"/>
    <x v="1"/>
  </r>
  <r>
    <s v="TX502171"/>
    <x v="2"/>
    <x v="1"/>
    <n v="61.3"/>
    <n v="122.6"/>
    <d v="2025-03-21T00:00:00"/>
    <d v="2025-03-22T00:00:00"/>
    <s v="F"/>
    <x v="1"/>
    <x v="1"/>
    <x v="0"/>
    <x v="21"/>
    <x v="3"/>
    <x v="11"/>
    <x v="2"/>
  </r>
  <r>
    <s v="TX502172"/>
    <x v="7"/>
    <x v="0"/>
    <n v="58"/>
    <n v="58"/>
    <d v="2025-03-21T00:00:00"/>
    <d v="2025-03-22T00:00:00"/>
    <s v="M"/>
    <x v="3"/>
    <x v="1"/>
    <x v="0"/>
    <x v="1"/>
    <x v="3"/>
    <x v="11"/>
    <x v="1"/>
  </r>
  <r>
    <s v="TX502173"/>
    <x v="2"/>
    <x v="8"/>
    <n v="102.3"/>
    <n v="818.4"/>
    <d v="2025-03-21T00:00:00"/>
    <d v="2025-03-23T00:00:00"/>
    <s v="M"/>
    <x v="2"/>
    <x v="0"/>
    <x v="0"/>
    <x v="42"/>
    <x v="1"/>
    <x v="11"/>
    <x v="1"/>
  </r>
  <r>
    <s v="TX502174"/>
    <x v="19"/>
    <x v="1"/>
    <n v="13.8"/>
    <n v="27.6"/>
    <d v="2025-03-21T00:00:00"/>
    <d v="2025-03-22T00:00:00"/>
    <s v="F"/>
    <x v="4"/>
    <x v="2"/>
    <x v="0"/>
    <x v="2"/>
    <x v="3"/>
    <x v="11"/>
    <x v="2"/>
  </r>
  <r>
    <s v="TX502175"/>
    <x v="8"/>
    <x v="2"/>
    <n v="33.299999999999997"/>
    <n v="99.899999999999991"/>
    <d v="2025-03-21T00:00:00"/>
    <d v="2025-03-24T00:00:00"/>
    <s v="F"/>
    <x v="2"/>
    <x v="0"/>
    <x v="0"/>
    <x v="22"/>
    <x v="2"/>
    <x v="11"/>
    <x v="2"/>
  </r>
  <r>
    <s v="TX502176"/>
    <x v="10"/>
    <x v="0"/>
    <n v="27.4"/>
    <n v="27.4"/>
    <d v="2025-03-21T00:00:00"/>
    <d v="2025-03-24T00:00:00"/>
    <s v="M"/>
    <x v="0"/>
    <x v="2"/>
    <x v="0"/>
    <x v="22"/>
    <x v="2"/>
    <x v="11"/>
    <x v="1"/>
  </r>
  <r>
    <s v="TX502177"/>
    <x v="14"/>
    <x v="1"/>
    <n v="25.6"/>
    <n v="51.2"/>
    <d v="2025-03-21T00:00:00"/>
    <d v="2025-03-22T00:00:00"/>
    <s v="F"/>
    <x v="1"/>
    <x v="1"/>
    <x v="0"/>
    <x v="3"/>
    <x v="3"/>
    <x v="11"/>
    <x v="2"/>
  </r>
  <r>
    <s v="TX502178"/>
    <x v="13"/>
    <x v="0"/>
    <n v="58.4"/>
    <n v="58.4"/>
    <d v="2025-03-21T00:00:00"/>
    <d v="2025-03-22T00:00:00"/>
    <s v="F"/>
    <x v="2"/>
    <x v="2"/>
    <x v="0"/>
    <x v="3"/>
    <x v="3"/>
    <x v="11"/>
    <x v="2"/>
  </r>
  <r>
    <s v="TX502179"/>
    <x v="11"/>
    <x v="17"/>
    <n v="27"/>
    <n v="810"/>
    <d v="2025-03-21T00:00:00"/>
    <d v="2025-03-22T00:00:00"/>
    <s v="F"/>
    <x v="4"/>
    <x v="0"/>
    <x v="0"/>
    <x v="3"/>
    <x v="3"/>
    <x v="11"/>
    <x v="2"/>
  </r>
  <r>
    <s v="TX502180"/>
    <x v="0"/>
    <x v="12"/>
    <n v="14.2"/>
    <n v="56.8"/>
    <d v="2025-03-21T00:00:00"/>
    <d v="2025-03-22T00:00:00"/>
    <s v="M"/>
    <x v="0"/>
    <x v="2"/>
    <x v="0"/>
    <x v="3"/>
    <x v="3"/>
    <x v="11"/>
    <x v="1"/>
  </r>
  <r>
    <s v="TX502181"/>
    <x v="7"/>
    <x v="1"/>
    <n v="68"/>
    <n v="136"/>
    <d v="2025-03-21T00:00:00"/>
    <d v="2025-03-31T00:00:00"/>
    <s v="M"/>
    <x v="2"/>
    <x v="1"/>
    <x v="0"/>
    <x v="3"/>
    <x v="14"/>
    <x v="11"/>
    <x v="1"/>
  </r>
  <r>
    <s v="TX502182"/>
    <x v="8"/>
    <x v="0"/>
    <n v="30.7"/>
    <n v="30.7"/>
    <d v="2025-03-21T00:00:00"/>
    <d v="2025-03-22T00:00:00"/>
    <s v="M"/>
    <x v="0"/>
    <x v="0"/>
    <x v="0"/>
    <x v="3"/>
    <x v="3"/>
    <x v="11"/>
    <x v="1"/>
  </r>
  <r>
    <s v="TX502183"/>
    <x v="17"/>
    <x v="15"/>
    <n v="51.6"/>
    <n v="670.80000000000007"/>
    <d v="2025-03-21T00:00:00"/>
    <d v="2025-03-24T00:00:00"/>
    <s v="O"/>
    <x v="1"/>
    <x v="2"/>
    <x v="0"/>
    <x v="3"/>
    <x v="2"/>
    <x v="11"/>
    <x v="3"/>
  </r>
  <r>
    <s v="TX502184"/>
    <x v="8"/>
    <x v="2"/>
    <n v="20.6"/>
    <n v="61.800000000000004"/>
    <d v="2025-03-21T00:00:00"/>
    <d v="2025-03-25T00:00:00"/>
    <s v="F"/>
    <x v="4"/>
    <x v="2"/>
    <x v="0"/>
    <x v="3"/>
    <x v="5"/>
    <x v="11"/>
    <x v="2"/>
  </r>
  <r>
    <s v="TX502185"/>
    <x v="8"/>
    <x v="0"/>
    <n v="24.8"/>
    <n v="24.8"/>
    <d v="2025-03-21T00:00:00"/>
    <d v="2025-03-22T00:00:00"/>
    <s v="M"/>
    <x v="4"/>
    <x v="0"/>
    <x v="0"/>
    <x v="3"/>
    <x v="3"/>
    <x v="11"/>
    <x v="1"/>
  </r>
  <r>
    <s v="TX502186"/>
    <x v="0"/>
    <x v="3"/>
    <n v="11.2"/>
    <n v="78.399999999999991"/>
    <d v="2025-03-21T00:00:00"/>
    <d v="2025-03-24T00:00:00"/>
    <s v="M"/>
    <x v="1"/>
    <x v="0"/>
    <x v="0"/>
    <x v="3"/>
    <x v="2"/>
    <x v="11"/>
    <x v="1"/>
  </r>
  <r>
    <s v="TX502187"/>
    <x v="11"/>
    <x v="1"/>
    <n v="51.2"/>
    <n v="102.4"/>
    <d v="2025-03-21T00:00:00"/>
    <d v="2025-03-22T00:00:00"/>
    <s v="F"/>
    <x v="1"/>
    <x v="2"/>
    <x v="0"/>
    <x v="3"/>
    <x v="3"/>
    <x v="11"/>
    <x v="2"/>
  </r>
  <r>
    <s v="TX502188"/>
    <x v="7"/>
    <x v="13"/>
    <n v="90.5"/>
    <n v="543"/>
    <d v="2025-03-21T00:00:00"/>
    <d v="2025-03-22T00:00:00"/>
    <s v="F"/>
    <x v="1"/>
    <x v="4"/>
    <x v="0"/>
    <x v="3"/>
    <x v="3"/>
    <x v="11"/>
    <x v="2"/>
  </r>
  <r>
    <s v="TX502189"/>
    <x v="1"/>
    <x v="1"/>
    <n v="42.4"/>
    <n v="84.8"/>
    <d v="2025-03-21T00:00:00"/>
    <d v="2025-03-22T00:00:00"/>
    <s v="M"/>
    <x v="1"/>
    <x v="2"/>
    <x v="0"/>
    <x v="4"/>
    <x v="3"/>
    <x v="11"/>
    <x v="1"/>
  </r>
  <r>
    <s v="TX502190"/>
    <x v="1"/>
    <x v="1"/>
    <n v="38.200000000000003"/>
    <n v="76.400000000000006"/>
    <d v="2025-03-21T00:00:00"/>
    <d v="2025-03-22T00:00:00"/>
    <s v="M"/>
    <x v="0"/>
    <x v="0"/>
    <x v="0"/>
    <x v="5"/>
    <x v="3"/>
    <x v="11"/>
    <x v="1"/>
  </r>
  <r>
    <s v="TX502191"/>
    <x v="2"/>
    <x v="11"/>
    <n v="121.3"/>
    <n v="1091.7"/>
    <d v="2025-03-21T00:00:00"/>
    <d v="2025-03-26T00:00:00"/>
    <s v="M"/>
    <x v="0"/>
    <x v="0"/>
    <x v="0"/>
    <x v="6"/>
    <x v="0"/>
    <x v="11"/>
    <x v="1"/>
  </r>
  <r>
    <s v="TX502192"/>
    <x v="6"/>
    <x v="1"/>
    <n v="46.9"/>
    <n v="93.8"/>
    <d v="2025-03-21T00:00:00"/>
    <d v="2025-03-28T00:00:00"/>
    <s v="M"/>
    <x v="0"/>
    <x v="0"/>
    <x v="0"/>
    <x v="8"/>
    <x v="6"/>
    <x v="11"/>
    <x v="1"/>
  </r>
  <r>
    <s v="TX502193"/>
    <x v="10"/>
    <x v="0"/>
    <n v="55.3"/>
    <n v="55.3"/>
    <d v="2025-03-21T00:00:00"/>
    <d v="2025-03-23T00:00:00"/>
    <s v="M"/>
    <x v="0"/>
    <x v="0"/>
    <x v="0"/>
    <x v="8"/>
    <x v="1"/>
    <x v="11"/>
    <x v="1"/>
  </r>
  <r>
    <s v="TX502194"/>
    <x v="2"/>
    <x v="2"/>
    <n v="70.599999999999994"/>
    <n v="211.79999999999998"/>
    <d v="2025-03-22T00:00:00"/>
    <d v="2025-03-22T00:00:00"/>
    <s v="F"/>
    <x v="0"/>
    <x v="1"/>
    <x v="0"/>
    <x v="8"/>
    <x v="7"/>
    <x v="11"/>
    <x v="2"/>
  </r>
  <r>
    <s v="TX502195"/>
    <x v="14"/>
    <x v="12"/>
    <n v="26.1"/>
    <n v="104.4"/>
    <d v="2025-03-22T00:00:00"/>
    <d v="2025-03-24T00:00:00"/>
    <s v="M"/>
    <x v="0"/>
    <x v="0"/>
    <x v="0"/>
    <x v="8"/>
    <x v="1"/>
    <x v="11"/>
    <x v="1"/>
  </r>
  <r>
    <s v="TX502196"/>
    <x v="9"/>
    <x v="5"/>
    <n v="34.5"/>
    <n v="379.5"/>
    <d v="2025-03-22T00:00:00"/>
    <d v="2025-03-26T00:00:00"/>
    <s v="M"/>
    <x v="2"/>
    <x v="0"/>
    <x v="0"/>
    <x v="17"/>
    <x v="5"/>
    <x v="11"/>
    <x v="1"/>
  </r>
  <r>
    <s v="TX502197"/>
    <x v="1"/>
    <x v="1"/>
    <n v="64.2"/>
    <n v="128.4"/>
    <d v="2025-03-22T00:00:00"/>
    <d v="2025-03-23T00:00:00"/>
    <s v="F"/>
    <x v="0"/>
    <x v="1"/>
    <x v="0"/>
    <x v="17"/>
    <x v="3"/>
    <x v="11"/>
    <x v="2"/>
  </r>
  <r>
    <s v="TX502198"/>
    <x v="2"/>
    <x v="12"/>
    <n v="145.69999999999999"/>
    <n v="582.79999999999995"/>
    <d v="2025-03-22T00:00:00"/>
    <d v="2025-03-23T00:00:00"/>
    <s v="F"/>
    <x v="0"/>
    <x v="4"/>
    <x v="0"/>
    <x v="17"/>
    <x v="3"/>
    <x v="11"/>
    <x v="2"/>
  </r>
  <r>
    <s v="TX502199"/>
    <x v="12"/>
    <x v="1"/>
    <n v="78.5"/>
    <n v="157"/>
    <d v="2025-03-22T00:00:00"/>
    <d v="2025-03-23T00:00:00"/>
    <s v="M"/>
    <x v="2"/>
    <x v="0"/>
    <x v="0"/>
    <x v="26"/>
    <x v="3"/>
    <x v="11"/>
    <x v="1"/>
  </r>
  <r>
    <s v="TX502200"/>
    <x v="1"/>
    <x v="0"/>
    <n v="34.200000000000003"/>
    <n v="34.200000000000003"/>
    <d v="2025-03-22T00:00:00"/>
    <d v="2025-03-24T00:00:00"/>
    <s v="M"/>
    <x v="0"/>
    <x v="0"/>
    <x v="0"/>
    <x v="9"/>
    <x v="1"/>
    <x v="11"/>
    <x v="1"/>
  </r>
  <r>
    <s v="TX502201"/>
    <x v="19"/>
    <x v="0"/>
    <n v="26.2"/>
    <n v="26.2"/>
    <d v="2025-03-22T00:00:00"/>
    <d v="2025-03-23T00:00:00"/>
    <s v="M"/>
    <x v="2"/>
    <x v="0"/>
    <x v="0"/>
    <x v="9"/>
    <x v="3"/>
    <x v="11"/>
    <x v="1"/>
  </r>
  <r>
    <s v="TX502202"/>
    <x v="6"/>
    <x v="12"/>
    <n v="53.2"/>
    <n v="212.8"/>
    <d v="2025-03-22T00:00:00"/>
    <d v="2025-03-23T00:00:00"/>
    <s v="M"/>
    <x v="1"/>
    <x v="1"/>
    <x v="0"/>
    <x v="11"/>
    <x v="3"/>
    <x v="11"/>
    <x v="1"/>
  </r>
  <r>
    <s v="TX502203"/>
    <x v="1"/>
    <x v="0"/>
    <n v="35.4"/>
    <n v="35.4"/>
    <d v="2025-03-22T00:00:00"/>
    <d v="2025-03-26T00:00:00"/>
    <s v="M"/>
    <x v="1"/>
    <x v="4"/>
    <x v="0"/>
    <x v="18"/>
    <x v="5"/>
    <x v="11"/>
    <x v="1"/>
  </r>
  <r>
    <s v="TX502204"/>
    <x v="14"/>
    <x v="1"/>
    <n v="21.3"/>
    <n v="42.6"/>
    <d v="2025-03-22T00:00:00"/>
    <d v="2025-03-23T00:00:00"/>
    <s v="M"/>
    <x v="2"/>
    <x v="0"/>
    <x v="0"/>
    <x v="20"/>
    <x v="3"/>
    <x v="11"/>
    <x v="1"/>
  </r>
  <r>
    <s v="TX502205"/>
    <x v="8"/>
    <x v="12"/>
    <n v="32.9"/>
    <n v="131.6"/>
    <d v="2025-03-22T00:00:00"/>
    <d v="2025-03-25T00:00:00"/>
    <s v="F"/>
    <x v="4"/>
    <x v="2"/>
    <x v="0"/>
    <x v="21"/>
    <x v="2"/>
    <x v="11"/>
    <x v="2"/>
  </r>
  <r>
    <s v="TX502206"/>
    <x v="5"/>
    <x v="20"/>
    <n v="85.5"/>
    <n v="1282.5"/>
    <d v="2025-03-22T00:00:00"/>
    <d v="2025-03-24T00:00:00"/>
    <s v="F"/>
    <x v="3"/>
    <x v="1"/>
    <x v="0"/>
    <x v="21"/>
    <x v="1"/>
    <x v="11"/>
    <x v="2"/>
  </r>
  <r>
    <s v="TX502207"/>
    <x v="4"/>
    <x v="0"/>
    <n v="26.8"/>
    <n v="26.8"/>
    <d v="2025-03-22T00:00:00"/>
    <d v="2025-03-23T00:00:00"/>
    <s v="F"/>
    <x v="0"/>
    <x v="1"/>
    <x v="0"/>
    <x v="2"/>
    <x v="3"/>
    <x v="11"/>
    <x v="2"/>
  </r>
  <r>
    <s v="TX502208"/>
    <x v="9"/>
    <x v="18"/>
    <n v="31.7"/>
    <n v="824.19999999999993"/>
    <d v="2025-03-22T00:00:00"/>
    <d v="2025-03-22T00:00:00"/>
    <s v="F"/>
    <x v="3"/>
    <x v="0"/>
    <x v="0"/>
    <x v="2"/>
    <x v="7"/>
    <x v="11"/>
    <x v="2"/>
  </r>
  <r>
    <s v="TX502209"/>
    <x v="1"/>
    <x v="1"/>
    <n v="78.3"/>
    <n v="156.6"/>
    <d v="2025-03-22T00:00:00"/>
    <d v="2025-03-24T00:00:00"/>
    <s v="F"/>
    <x v="1"/>
    <x v="1"/>
    <x v="0"/>
    <x v="3"/>
    <x v="1"/>
    <x v="11"/>
    <x v="2"/>
  </r>
  <r>
    <s v="TX502210"/>
    <x v="6"/>
    <x v="0"/>
    <n v="43.9"/>
    <n v="43.9"/>
    <d v="2025-03-22T00:00:00"/>
    <d v="2025-03-23T00:00:00"/>
    <s v="M"/>
    <x v="0"/>
    <x v="0"/>
    <x v="0"/>
    <x v="3"/>
    <x v="3"/>
    <x v="11"/>
    <x v="1"/>
  </r>
  <r>
    <s v="TX502211"/>
    <x v="18"/>
    <x v="2"/>
    <n v="84"/>
    <n v="252"/>
    <d v="2025-03-22T00:00:00"/>
    <d v="2025-03-24T00:00:00"/>
    <s v=""/>
    <x v="3"/>
    <x v="2"/>
    <x v="0"/>
    <x v="3"/>
    <x v="1"/>
    <x v="11"/>
    <x v="0"/>
  </r>
  <r>
    <s v="TX502212"/>
    <x v="0"/>
    <x v="2"/>
    <n v="11.4"/>
    <n v="34.200000000000003"/>
    <d v="2025-03-22T00:00:00"/>
    <d v="2025-03-23T00:00:00"/>
    <s v="M"/>
    <x v="4"/>
    <x v="0"/>
    <x v="0"/>
    <x v="3"/>
    <x v="3"/>
    <x v="11"/>
    <x v="1"/>
  </r>
  <r>
    <s v="TX502213"/>
    <x v="12"/>
    <x v="8"/>
    <n v="47.5"/>
    <n v="380"/>
    <d v="2025-03-22T00:00:00"/>
    <d v="2025-03-30T00:00:00"/>
    <s v="F"/>
    <x v="0"/>
    <x v="0"/>
    <x v="0"/>
    <x v="3"/>
    <x v="9"/>
    <x v="11"/>
    <x v="2"/>
  </r>
  <r>
    <s v="TX502214"/>
    <x v="9"/>
    <x v="5"/>
    <n v="50.5"/>
    <n v="555.5"/>
    <d v="2025-03-22T00:00:00"/>
    <d v="2025-03-24T00:00:00"/>
    <s v="M"/>
    <x v="2"/>
    <x v="0"/>
    <x v="0"/>
    <x v="3"/>
    <x v="1"/>
    <x v="11"/>
    <x v="1"/>
  </r>
  <r>
    <s v="TX502215"/>
    <x v="15"/>
    <x v="0"/>
    <n v="36.299999999999997"/>
    <n v="36.299999999999997"/>
    <d v="2025-03-22T00:00:00"/>
    <d v="2025-03-25T00:00:00"/>
    <s v="O"/>
    <x v="0"/>
    <x v="1"/>
    <x v="0"/>
    <x v="8"/>
    <x v="2"/>
    <x v="11"/>
    <x v="3"/>
  </r>
  <r>
    <s v="TX502216"/>
    <x v="8"/>
    <x v="1"/>
    <n v="35.4"/>
    <n v="70.8"/>
    <d v="2025-03-22T00:00:00"/>
    <d v="2025-03-23T00:00:00"/>
    <s v="F"/>
    <x v="0"/>
    <x v="0"/>
    <x v="0"/>
    <x v="17"/>
    <x v="3"/>
    <x v="11"/>
    <x v="2"/>
  </r>
  <r>
    <s v="TX502217"/>
    <x v="1"/>
    <x v="2"/>
    <n v="45.9"/>
    <n v="137.69999999999999"/>
    <d v="2025-03-23T00:00:00"/>
    <d v="2025-03-24T00:00:00"/>
    <s v="M"/>
    <x v="3"/>
    <x v="0"/>
    <x v="0"/>
    <x v="9"/>
    <x v="3"/>
    <x v="12"/>
    <x v="1"/>
  </r>
  <r>
    <s v="TX502218"/>
    <x v="6"/>
    <x v="7"/>
    <n v="41.2"/>
    <n v="412"/>
    <d v="2025-03-23T00:00:00"/>
    <d v="2025-03-27T00:00:00"/>
    <s v="M"/>
    <x v="0"/>
    <x v="0"/>
    <x v="0"/>
    <x v="11"/>
    <x v="5"/>
    <x v="12"/>
    <x v="1"/>
  </r>
  <r>
    <s v="TX502219"/>
    <x v="17"/>
    <x v="1"/>
    <n v="45.1"/>
    <n v="90.2"/>
    <d v="2025-03-23T00:00:00"/>
    <d v="2025-03-24T00:00:00"/>
    <s v="M"/>
    <x v="1"/>
    <x v="1"/>
    <x v="0"/>
    <x v="21"/>
    <x v="3"/>
    <x v="12"/>
    <x v="1"/>
  </r>
  <r>
    <s v="TX502220"/>
    <x v="6"/>
    <x v="7"/>
    <n v="63.6"/>
    <n v="636"/>
    <d v="2025-03-23T00:00:00"/>
    <d v="2025-03-23T00:00:00"/>
    <s v="M"/>
    <x v="2"/>
    <x v="0"/>
    <x v="0"/>
    <x v="1"/>
    <x v="7"/>
    <x v="12"/>
    <x v="1"/>
  </r>
  <r>
    <s v="TX502221"/>
    <x v="8"/>
    <x v="0"/>
    <n v="70.5"/>
    <n v="70.5"/>
    <d v="2025-03-23T00:00:00"/>
    <d v="2025-03-24T00:00:00"/>
    <s v="M"/>
    <x v="0"/>
    <x v="0"/>
    <x v="0"/>
    <x v="3"/>
    <x v="3"/>
    <x v="12"/>
    <x v="1"/>
  </r>
  <r>
    <s v="TX502222"/>
    <x v="6"/>
    <x v="0"/>
    <n v="41.3"/>
    <n v="41.3"/>
    <d v="2025-03-23T00:00:00"/>
    <d v="2025-03-23T00:00:00"/>
    <s v="M"/>
    <x v="4"/>
    <x v="0"/>
    <x v="0"/>
    <x v="3"/>
    <x v="7"/>
    <x v="12"/>
    <x v="1"/>
  </r>
  <r>
    <s v="TX502223"/>
    <x v="4"/>
    <x v="0"/>
    <n v="35.299999999999997"/>
    <n v="35.299999999999997"/>
    <d v="2025-03-23T00:00:00"/>
    <d v="2025-03-26T00:00:00"/>
    <s v="F"/>
    <x v="4"/>
    <x v="2"/>
    <x v="0"/>
    <x v="3"/>
    <x v="2"/>
    <x v="12"/>
    <x v="2"/>
  </r>
  <r>
    <s v="TX502224"/>
    <x v="8"/>
    <x v="9"/>
    <n v="34.700000000000003"/>
    <n v="173.5"/>
    <d v="2025-03-23T00:00:00"/>
    <d v="2025-03-24T00:00:00"/>
    <s v="F"/>
    <x v="0"/>
    <x v="2"/>
    <x v="0"/>
    <x v="3"/>
    <x v="3"/>
    <x v="12"/>
    <x v="2"/>
  </r>
  <r>
    <s v="TX502225"/>
    <x v="8"/>
    <x v="2"/>
    <n v="26.1"/>
    <n v="78.300000000000011"/>
    <d v="2025-03-23T00:00:00"/>
    <d v="2025-03-24T00:00:00"/>
    <s v="F"/>
    <x v="0"/>
    <x v="0"/>
    <x v="0"/>
    <x v="3"/>
    <x v="3"/>
    <x v="12"/>
    <x v="2"/>
  </r>
  <r>
    <s v="TX502226"/>
    <x v="9"/>
    <x v="9"/>
    <n v="22.6"/>
    <n v="113"/>
    <d v="2025-03-23T00:00:00"/>
    <d v="2025-03-23T00:00:00"/>
    <s v="F"/>
    <x v="1"/>
    <x v="2"/>
    <x v="0"/>
    <x v="3"/>
    <x v="7"/>
    <x v="12"/>
    <x v="2"/>
  </r>
  <r>
    <s v="TX502227"/>
    <x v="2"/>
    <x v="1"/>
    <n v="154.4"/>
    <n v="308.8"/>
    <d v="2025-03-23T00:00:00"/>
    <d v="2025-03-26T00:00:00"/>
    <s v="M"/>
    <x v="1"/>
    <x v="1"/>
    <x v="0"/>
    <x v="3"/>
    <x v="2"/>
    <x v="12"/>
    <x v="1"/>
  </r>
  <r>
    <s v="TX502228"/>
    <x v="8"/>
    <x v="1"/>
    <n v="18.399999999999999"/>
    <n v="36.799999999999997"/>
    <d v="2025-03-23T00:00:00"/>
    <d v="2025-03-24T00:00:00"/>
    <s v="M"/>
    <x v="0"/>
    <x v="0"/>
    <x v="0"/>
    <x v="3"/>
    <x v="3"/>
    <x v="12"/>
    <x v="1"/>
  </r>
  <r>
    <s v="TX502229"/>
    <x v="14"/>
    <x v="0"/>
    <n v="25"/>
    <n v="25"/>
    <d v="2025-03-23T00:00:00"/>
    <d v="2025-03-26T00:00:00"/>
    <s v="F"/>
    <x v="0"/>
    <x v="0"/>
    <x v="0"/>
    <x v="3"/>
    <x v="2"/>
    <x v="12"/>
    <x v="2"/>
  </r>
  <r>
    <s v="TX502230"/>
    <x v="2"/>
    <x v="13"/>
    <n v="105.6"/>
    <n v="633.59999999999991"/>
    <d v="2025-03-23T00:00:00"/>
    <d v="2025-03-23T00:00:00"/>
    <s v="F"/>
    <x v="0"/>
    <x v="0"/>
    <x v="0"/>
    <x v="3"/>
    <x v="7"/>
    <x v="12"/>
    <x v="2"/>
  </r>
  <r>
    <s v="TX502231"/>
    <x v="18"/>
    <x v="8"/>
    <n v="59.6"/>
    <n v="476.8"/>
    <d v="2025-03-23T00:00:00"/>
    <d v="2025-03-23T00:00:00"/>
    <s v="F"/>
    <x v="0"/>
    <x v="2"/>
    <x v="0"/>
    <x v="23"/>
    <x v="7"/>
    <x v="12"/>
    <x v="2"/>
  </r>
  <r>
    <s v="TX502232"/>
    <x v="15"/>
    <x v="2"/>
    <n v="75.400000000000006"/>
    <n v="226.20000000000002"/>
    <d v="2025-03-23T00:00:00"/>
    <d v="2025-03-28T00:00:00"/>
    <s v="M"/>
    <x v="0"/>
    <x v="1"/>
    <x v="0"/>
    <x v="7"/>
    <x v="0"/>
    <x v="12"/>
    <x v="1"/>
  </r>
  <r>
    <s v="TX502233"/>
    <x v="7"/>
    <x v="0"/>
    <n v="104.4"/>
    <n v="104.4"/>
    <d v="2025-03-23T00:00:00"/>
    <d v="2025-03-24T00:00:00"/>
    <s v="F"/>
    <x v="0"/>
    <x v="0"/>
    <x v="0"/>
    <x v="8"/>
    <x v="3"/>
    <x v="12"/>
    <x v="2"/>
  </r>
  <r>
    <s v="TX502234"/>
    <x v="2"/>
    <x v="7"/>
    <n v="208.2"/>
    <n v="2082"/>
    <d v="2025-03-23T00:00:00"/>
    <d v="2025-03-24T00:00:00"/>
    <s v="M"/>
    <x v="0"/>
    <x v="2"/>
    <x v="0"/>
    <x v="8"/>
    <x v="3"/>
    <x v="12"/>
    <x v="1"/>
  </r>
  <r>
    <s v="TX502235"/>
    <x v="6"/>
    <x v="1"/>
    <n v="45"/>
    <n v="90"/>
    <d v="2025-03-23T00:00:00"/>
    <d v="2025-03-26T00:00:00"/>
    <s v="F"/>
    <x v="0"/>
    <x v="0"/>
    <x v="0"/>
    <x v="10"/>
    <x v="2"/>
    <x v="12"/>
    <x v="2"/>
  </r>
  <r>
    <s v="TX502236"/>
    <x v="15"/>
    <x v="1"/>
    <n v="20.3"/>
    <n v="40.6"/>
    <d v="2025-03-24T00:00:00"/>
    <d v="2025-03-26T00:00:00"/>
    <s v=""/>
    <x v="1"/>
    <x v="0"/>
    <x v="0"/>
    <x v="11"/>
    <x v="1"/>
    <x v="12"/>
    <x v="0"/>
  </r>
  <r>
    <s v="TX502237"/>
    <x v="2"/>
    <x v="2"/>
    <n v="94.4"/>
    <n v="283.20000000000005"/>
    <d v="2025-03-24T00:00:00"/>
    <d v="2025-03-25T00:00:00"/>
    <s v="F"/>
    <x v="0"/>
    <x v="2"/>
    <x v="0"/>
    <x v="11"/>
    <x v="3"/>
    <x v="12"/>
    <x v="2"/>
  </r>
  <r>
    <s v="TX502238"/>
    <x v="9"/>
    <x v="0"/>
    <n v="49"/>
    <n v="49"/>
    <d v="2025-03-24T00:00:00"/>
    <d v="2025-03-26T00:00:00"/>
    <s v="F"/>
    <x v="0"/>
    <x v="2"/>
    <x v="0"/>
    <x v="20"/>
    <x v="1"/>
    <x v="12"/>
    <x v="2"/>
  </r>
  <r>
    <s v="TX502239"/>
    <x v="4"/>
    <x v="1"/>
    <n v="27.2"/>
    <n v="54.4"/>
    <d v="2025-03-24T00:00:00"/>
    <d v="2025-03-26T00:00:00"/>
    <s v="M"/>
    <x v="0"/>
    <x v="2"/>
    <x v="0"/>
    <x v="1"/>
    <x v="1"/>
    <x v="12"/>
    <x v="1"/>
  </r>
  <r>
    <s v="TX502240"/>
    <x v="2"/>
    <x v="13"/>
    <n v="72.599999999999994"/>
    <n v="435.59999999999997"/>
    <d v="2025-03-24T00:00:00"/>
    <d v="2025-03-25T00:00:00"/>
    <s v="F"/>
    <x v="0"/>
    <x v="2"/>
    <x v="0"/>
    <x v="2"/>
    <x v="3"/>
    <x v="12"/>
    <x v="2"/>
  </r>
  <r>
    <s v="TX502241"/>
    <x v="15"/>
    <x v="12"/>
    <n v="62.4"/>
    <n v="249.6"/>
    <d v="2025-03-24T00:00:00"/>
    <d v="2025-03-25T00:00:00"/>
    <s v="F"/>
    <x v="0"/>
    <x v="0"/>
    <x v="0"/>
    <x v="3"/>
    <x v="3"/>
    <x v="12"/>
    <x v="2"/>
  </r>
  <r>
    <s v="TX502242"/>
    <x v="8"/>
    <x v="2"/>
    <n v="19.100000000000001"/>
    <n v="57.300000000000004"/>
    <d v="2025-03-24T00:00:00"/>
    <d v="2025-03-26T00:00:00"/>
    <s v="M"/>
    <x v="0"/>
    <x v="1"/>
    <x v="0"/>
    <x v="3"/>
    <x v="1"/>
    <x v="12"/>
    <x v="1"/>
  </r>
  <r>
    <s v="TX502243"/>
    <x v="10"/>
    <x v="0"/>
    <n v="29.6"/>
    <n v="29.6"/>
    <d v="2025-03-24T00:00:00"/>
    <d v="2025-03-28T00:00:00"/>
    <s v="M"/>
    <x v="0"/>
    <x v="4"/>
    <x v="0"/>
    <x v="3"/>
    <x v="5"/>
    <x v="12"/>
    <x v="1"/>
  </r>
  <r>
    <s v="TX502244"/>
    <x v="8"/>
    <x v="1"/>
    <n v="18.899999999999999"/>
    <n v="37.799999999999997"/>
    <d v="2025-03-24T00:00:00"/>
    <d v="2025-03-26T00:00:00"/>
    <s v="F"/>
    <x v="4"/>
    <x v="2"/>
    <x v="0"/>
    <x v="3"/>
    <x v="1"/>
    <x v="12"/>
    <x v="2"/>
  </r>
  <r>
    <s v="TX502245"/>
    <x v="10"/>
    <x v="9"/>
    <n v="41.4"/>
    <n v="207"/>
    <d v="2025-03-24T00:00:00"/>
    <d v="2025-03-25T00:00:00"/>
    <s v="M"/>
    <x v="3"/>
    <x v="0"/>
    <x v="0"/>
    <x v="3"/>
    <x v="3"/>
    <x v="12"/>
    <x v="1"/>
  </r>
  <r>
    <s v="TX502246"/>
    <x v="2"/>
    <x v="0"/>
    <n v="118.4"/>
    <n v="118.4"/>
    <d v="2025-03-24T00:00:00"/>
    <d v="2025-03-25T00:00:00"/>
    <s v="F"/>
    <x v="0"/>
    <x v="2"/>
    <x v="0"/>
    <x v="3"/>
    <x v="3"/>
    <x v="12"/>
    <x v="2"/>
  </r>
  <r>
    <s v="TX502247"/>
    <x v="2"/>
    <x v="1"/>
    <n v="125.3"/>
    <n v="250.6"/>
    <d v="2025-03-24T00:00:00"/>
    <d v="2025-03-27T00:00:00"/>
    <s v="F"/>
    <x v="0"/>
    <x v="2"/>
    <x v="0"/>
    <x v="3"/>
    <x v="2"/>
    <x v="12"/>
    <x v="2"/>
  </r>
  <r>
    <s v="TX502248"/>
    <x v="3"/>
    <x v="1"/>
    <n v="85.8"/>
    <n v="171.6"/>
    <d v="2025-03-24T00:00:00"/>
    <d v="2025-03-25T00:00:00"/>
    <s v="F"/>
    <x v="1"/>
    <x v="4"/>
    <x v="0"/>
    <x v="3"/>
    <x v="3"/>
    <x v="12"/>
    <x v="2"/>
  </r>
  <r>
    <s v="TX502249"/>
    <x v="6"/>
    <x v="0"/>
    <n v="44.2"/>
    <n v="44.2"/>
    <d v="2025-03-24T00:00:00"/>
    <d v="2025-03-27T00:00:00"/>
    <s v="M"/>
    <x v="1"/>
    <x v="0"/>
    <x v="0"/>
    <x v="3"/>
    <x v="2"/>
    <x v="12"/>
    <x v="1"/>
  </r>
  <r>
    <s v="TX502250"/>
    <x v="5"/>
    <x v="12"/>
    <n v="74.099999999999994"/>
    <n v="296.39999999999998"/>
    <d v="2025-03-24T00:00:00"/>
    <d v="2025-03-26T00:00:00"/>
    <s v="F"/>
    <x v="0"/>
    <x v="0"/>
    <x v="0"/>
    <x v="3"/>
    <x v="1"/>
    <x v="12"/>
    <x v="2"/>
  </r>
  <r>
    <s v="TX502251"/>
    <x v="8"/>
    <x v="0"/>
    <n v="33.799999999999997"/>
    <n v="33.799999999999997"/>
    <d v="2025-03-24T00:00:00"/>
    <d v="2025-03-25T00:00:00"/>
    <s v="F"/>
    <x v="2"/>
    <x v="2"/>
    <x v="0"/>
    <x v="24"/>
    <x v="3"/>
    <x v="12"/>
    <x v="2"/>
  </r>
  <r>
    <s v="TX502252"/>
    <x v="1"/>
    <x v="1"/>
    <n v="39.1"/>
    <n v="78.2"/>
    <d v="2025-03-24T00:00:00"/>
    <d v="2025-03-25T00:00:00"/>
    <s v="M"/>
    <x v="0"/>
    <x v="1"/>
    <x v="0"/>
    <x v="24"/>
    <x v="3"/>
    <x v="12"/>
    <x v="1"/>
  </r>
  <r>
    <s v="TX502253"/>
    <x v="0"/>
    <x v="0"/>
    <n v="37.200000000000003"/>
    <n v="37.200000000000003"/>
    <d v="2025-03-24T00:00:00"/>
    <d v="2025-03-25T00:00:00"/>
    <s v="M"/>
    <x v="0"/>
    <x v="1"/>
    <x v="0"/>
    <x v="16"/>
    <x v="3"/>
    <x v="12"/>
    <x v="1"/>
  </r>
  <r>
    <s v="TX502254"/>
    <x v="15"/>
    <x v="2"/>
    <n v="33.9"/>
    <n v="101.69999999999999"/>
    <d v="2025-03-24T00:00:00"/>
    <d v="2025-03-26T00:00:00"/>
    <s v="M"/>
    <x v="2"/>
    <x v="0"/>
    <x v="0"/>
    <x v="6"/>
    <x v="1"/>
    <x v="12"/>
    <x v="1"/>
  </r>
  <r>
    <s v="TX502255"/>
    <x v="7"/>
    <x v="20"/>
    <n v="73.3"/>
    <n v="1099.5"/>
    <d v="2025-03-24T00:00:00"/>
    <d v="2025-03-27T00:00:00"/>
    <s v="F"/>
    <x v="2"/>
    <x v="1"/>
    <x v="0"/>
    <x v="8"/>
    <x v="2"/>
    <x v="12"/>
    <x v="2"/>
  </r>
  <r>
    <s v="TX502256"/>
    <x v="8"/>
    <x v="12"/>
    <n v="35"/>
    <n v="140"/>
    <d v="2025-03-24T00:00:00"/>
    <d v="2025-03-26T00:00:00"/>
    <s v="F"/>
    <x v="1"/>
    <x v="0"/>
    <x v="0"/>
    <x v="8"/>
    <x v="1"/>
    <x v="12"/>
    <x v="2"/>
  </r>
  <r>
    <s v="TX502257"/>
    <x v="0"/>
    <x v="2"/>
    <n v="22.2"/>
    <n v="66.599999999999994"/>
    <d v="2025-03-24T00:00:00"/>
    <d v="2025-03-25T00:00:00"/>
    <s v="M"/>
    <x v="1"/>
    <x v="0"/>
    <x v="0"/>
    <x v="17"/>
    <x v="3"/>
    <x v="12"/>
    <x v="1"/>
  </r>
  <r>
    <s v="TX502258"/>
    <x v="10"/>
    <x v="0"/>
    <n v="32.4"/>
    <n v="32.4"/>
    <d v="2025-03-24T00:00:00"/>
    <d v="2025-03-25T00:00:00"/>
    <s v="F"/>
    <x v="0"/>
    <x v="0"/>
    <x v="0"/>
    <x v="11"/>
    <x v="3"/>
    <x v="12"/>
    <x v="2"/>
  </r>
  <r>
    <s v="TX502259"/>
    <x v="5"/>
    <x v="2"/>
    <n v="88.4"/>
    <n v="265.20000000000005"/>
    <d v="2025-03-25T00:00:00"/>
    <d v="2025-03-27T00:00:00"/>
    <s v="F"/>
    <x v="1"/>
    <x v="1"/>
    <x v="0"/>
    <x v="11"/>
    <x v="1"/>
    <x v="12"/>
    <x v="2"/>
  </r>
  <r>
    <s v="TX502260"/>
    <x v="5"/>
    <x v="27"/>
    <n v="30.5"/>
    <n v="488"/>
    <d v="2025-03-25T00:00:00"/>
    <d v="2025-03-26T00:00:00"/>
    <s v="F"/>
    <x v="2"/>
    <x v="0"/>
    <x v="0"/>
    <x v="11"/>
    <x v="3"/>
    <x v="12"/>
    <x v="2"/>
  </r>
  <r>
    <s v="TX502261"/>
    <x v="1"/>
    <x v="13"/>
    <n v="38.1"/>
    <n v="228.60000000000002"/>
    <d v="2025-03-25T00:00:00"/>
    <d v="2025-03-27T00:00:00"/>
    <s v="F"/>
    <x v="0"/>
    <x v="1"/>
    <x v="0"/>
    <x v="11"/>
    <x v="1"/>
    <x v="12"/>
    <x v="2"/>
  </r>
  <r>
    <s v="TX502262"/>
    <x v="10"/>
    <x v="9"/>
    <n v="37.6"/>
    <n v="188"/>
    <d v="2025-03-25T00:00:00"/>
    <d v="2025-03-29T00:00:00"/>
    <s v="M"/>
    <x v="0"/>
    <x v="0"/>
    <x v="0"/>
    <x v="11"/>
    <x v="5"/>
    <x v="12"/>
    <x v="1"/>
  </r>
  <r>
    <s v="TX502263"/>
    <x v="15"/>
    <x v="1"/>
    <n v="31.4"/>
    <n v="62.8"/>
    <d v="2025-03-25T00:00:00"/>
    <d v="2025-03-26T00:00:00"/>
    <s v="M"/>
    <x v="0"/>
    <x v="2"/>
    <x v="0"/>
    <x v="11"/>
    <x v="3"/>
    <x v="12"/>
    <x v="1"/>
  </r>
  <r>
    <s v="TX502264"/>
    <x v="6"/>
    <x v="1"/>
    <n v="61.5"/>
    <n v="123"/>
    <d v="2025-03-25T00:00:00"/>
    <d v="2025-03-26T00:00:00"/>
    <s v="M"/>
    <x v="3"/>
    <x v="0"/>
    <x v="0"/>
    <x v="31"/>
    <x v="3"/>
    <x v="12"/>
    <x v="1"/>
  </r>
  <r>
    <s v="TX502265"/>
    <x v="6"/>
    <x v="0"/>
    <n v="72.599999999999994"/>
    <n v="72.599999999999994"/>
    <d v="2025-03-25T00:00:00"/>
    <d v="2025-03-26T00:00:00"/>
    <s v="M"/>
    <x v="0"/>
    <x v="1"/>
    <x v="0"/>
    <x v="21"/>
    <x v="3"/>
    <x v="12"/>
    <x v="1"/>
  </r>
  <r>
    <s v="TX502266"/>
    <x v="9"/>
    <x v="2"/>
    <n v="26.9"/>
    <n v="80.699999999999989"/>
    <d v="2025-03-25T00:00:00"/>
    <d v="2025-03-30T00:00:00"/>
    <s v="O"/>
    <x v="4"/>
    <x v="1"/>
    <x v="0"/>
    <x v="46"/>
    <x v="0"/>
    <x v="12"/>
    <x v="3"/>
  </r>
  <r>
    <s v="TX502267"/>
    <x v="17"/>
    <x v="4"/>
    <n v="29.4"/>
    <n v="352.79999999999995"/>
    <d v="2025-03-25T00:00:00"/>
    <d v="2025-03-26T00:00:00"/>
    <s v="F"/>
    <x v="1"/>
    <x v="0"/>
    <x v="0"/>
    <x v="51"/>
    <x v="3"/>
    <x v="12"/>
    <x v="2"/>
  </r>
  <r>
    <s v="TX502268"/>
    <x v="17"/>
    <x v="1"/>
    <n v="42.1"/>
    <n v="84.2"/>
    <d v="2025-03-25T00:00:00"/>
    <d v="2025-03-26T00:00:00"/>
    <s v="F"/>
    <x v="3"/>
    <x v="1"/>
    <x v="0"/>
    <x v="1"/>
    <x v="3"/>
    <x v="12"/>
    <x v="2"/>
  </r>
  <r>
    <s v="TX502269"/>
    <x v="5"/>
    <x v="0"/>
    <n v="40.5"/>
    <n v="40.5"/>
    <d v="2025-03-25T00:00:00"/>
    <d v="2025-03-26T00:00:00"/>
    <s v="F"/>
    <x v="2"/>
    <x v="1"/>
    <x v="0"/>
    <x v="1"/>
    <x v="3"/>
    <x v="12"/>
    <x v="2"/>
  </r>
  <r>
    <s v="TX502270"/>
    <x v="2"/>
    <x v="12"/>
    <n v="182.3"/>
    <n v="729.2"/>
    <d v="2025-03-25T00:00:00"/>
    <d v="2025-03-26T00:00:00"/>
    <s v="F"/>
    <x v="1"/>
    <x v="0"/>
    <x v="0"/>
    <x v="1"/>
    <x v="3"/>
    <x v="12"/>
    <x v="2"/>
  </r>
  <r>
    <s v="TX502271"/>
    <x v="2"/>
    <x v="9"/>
    <n v="157"/>
    <n v="785"/>
    <d v="2025-03-25T00:00:00"/>
    <d v="2025-03-28T00:00:00"/>
    <s v="F"/>
    <x v="1"/>
    <x v="2"/>
    <x v="0"/>
    <x v="2"/>
    <x v="2"/>
    <x v="12"/>
    <x v="2"/>
  </r>
  <r>
    <s v="TX502272"/>
    <x v="17"/>
    <x v="9"/>
    <n v="45.2"/>
    <n v="226"/>
    <d v="2025-03-25T00:00:00"/>
    <d v="2025-03-28T00:00:00"/>
    <s v="F"/>
    <x v="1"/>
    <x v="0"/>
    <x v="0"/>
    <x v="22"/>
    <x v="2"/>
    <x v="12"/>
    <x v="2"/>
  </r>
  <r>
    <s v="TX502273"/>
    <x v="15"/>
    <x v="12"/>
    <n v="27.4"/>
    <n v="109.6"/>
    <d v="2025-03-25T00:00:00"/>
    <d v="2025-03-27T00:00:00"/>
    <s v="F"/>
    <x v="0"/>
    <x v="0"/>
    <x v="0"/>
    <x v="3"/>
    <x v="1"/>
    <x v="12"/>
    <x v="2"/>
  </r>
  <r>
    <s v="TX502274"/>
    <x v="5"/>
    <x v="9"/>
    <n v="34.1"/>
    <n v="170.5"/>
    <d v="2025-03-25T00:00:00"/>
    <d v="2025-03-27T00:00:00"/>
    <s v="M"/>
    <x v="0"/>
    <x v="2"/>
    <x v="0"/>
    <x v="3"/>
    <x v="1"/>
    <x v="12"/>
    <x v="1"/>
  </r>
  <r>
    <s v="TX502275"/>
    <x v="0"/>
    <x v="1"/>
    <n v="26"/>
    <n v="52"/>
    <d v="2025-03-25T00:00:00"/>
    <d v="2025-03-27T00:00:00"/>
    <s v="M"/>
    <x v="2"/>
    <x v="1"/>
    <x v="0"/>
    <x v="3"/>
    <x v="1"/>
    <x v="12"/>
    <x v="1"/>
  </r>
  <r>
    <s v="TX502276"/>
    <x v="8"/>
    <x v="3"/>
    <n v="19.399999999999999"/>
    <n v="135.79999999999998"/>
    <d v="2025-03-25T00:00:00"/>
    <d v="2025-03-27T00:00:00"/>
    <s v=""/>
    <x v="1"/>
    <x v="1"/>
    <x v="0"/>
    <x v="3"/>
    <x v="1"/>
    <x v="12"/>
    <x v="0"/>
  </r>
  <r>
    <s v="TX502277"/>
    <x v="16"/>
    <x v="2"/>
    <n v="30.3"/>
    <n v="90.9"/>
    <d v="2025-03-25T00:00:00"/>
    <d v="2025-03-28T00:00:00"/>
    <s v="F"/>
    <x v="1"/>
    <x v="2"/>
    <x v="0"/>
    <x v="3"/>
    <x v="2"/>
    <x v="12"/>
    <x v="2"/>
  </r>
  <r>
    <s v="TX502278"/>
    <x v="2"/>
    <x v="2"/>
    <n v="101.4"/>
    <n v="304.20000000000005"/>
    <d v="2025-03-25T00:00:00"/>
    <d v="2025-03-26T00:00:00"/>
    <s v="M"/>
    <x v="0"/>
    <x v="0"/>
    <x v="0"/>
    <x v="3"/>
    <x v="3"/>
    <x v="12"/>
    <x v="1"/>
  </r>
  <r>
    <s v="TX502279"/>
    <x v="3"/>
    <x v="9"/>
    <n v="55.5"/>
    <n v="277.5"/>
    <d v="2025-03-25T00:00:00"/>
    <d v="2025-03-28T00:00:00"/>
    <s v="M"/>
    <x v="1"/>
    <x v="0"/>
    <x v="0"/>
    <x v="24"/>
    <x v="2"/>
    <x v="12"/>
    <x v="1"/>
  </r>
  <r>
    <s v="TX502280"/>
    <x v="8"/>
    <x v="0"/>
    <n v="23.1"/>
    <n v="23.1"/>
    <d v="2025-03-25T00:00:00"/>
    <d v="2025-03-26T00:00:00"/>
    <s v="M"/>
    <x v="0"/>
    <x v="0"/>
    <x v="0"/>
    <x v="25"/>
    <x v="3"/>
    <x v="12"/>
    <x v="1"/>
  </r>
  <r>
    <s v="TX502281"/>
    <x v="18"/>
    <x v="1"/>
    <n v="38.9"/>
    <n v="77.8"/>
    <d v="2025-03-25T00:00:00"/>
    <d v="2025-03-26T00:00:00"/>
    <s v="M"/>
    <x v="2"/>
    <x v="0"/>
    <x v="0"/>
    <x v="25"/>
    <x v="3"/>
    <x v="12"/>
    <x v="1"/>
  </r>
  <r>
    <s v="TX502282"/>
    <x v="6"/>
    <x v="11"/>
    <n v="116.3"/>
    <n v="1046.7"/>
    <d v="2025-03-25T00:00:00"/>
    <d v="2025-03-29T00:00:00"/>
    <s v="F"/>
    <x v="0"/>
    <x v="0"/>
    <x v="0"/>
    <x v="5"/>
    <x v="5"/>
    <x v="12"/>
    <x v="2"/>
  </r>
  <r>
    <s v="TX502283"/>
    <x v="16"/>
    <x v="11"/>
    <n v="64.099999999999994"/>
    <n v="576.9"/>
    <d v="2025-03-25T00:00:00"/>
    <d v="2025-03-25T00:00:00"/>
    <s v="F"/>
    <x v="0"/>
    <x v="2"/>
    <x v="0"/>
    <x v="6"/>
    <x v="7"/>
    <x v="12"/>
    <x v="2"/>
  </r>
  <r>
    <s v="TX502284"/>
    <x v="2"/>
    <x v="13"/>
    <n v="109.2"/>
    <n v="655.20000000000005"/>
    <d v="2025-03-25T00:00:00"/>
    <d v="2025-03-27T00:00:00"/>
    <s v="M"/>
    <x v="0"/>
    <x v="1"/>
    <x v="0"/>
    <x v="8"/>
    <x v="1"/>
    <x v="12"/>
    <x v="1"/>
  </r>
  <r>
    <s v="TX502285"/>
    <x v="10"/>
    <x v="9"/>
    <n v="23.2"/>
    <n v="116"/>
    <d v="2025-03-26T00:00:00"/>
    <d v="2025-03-27T00:00:00"/>
    <s v="M"/>
    <x v="0"/>
    <x v="1"/>
    <x v="0"/>
    <x v="8"/>
    <x v="3"/>
    <x v="12"/>
    <x v="1"/>
  </r>
  <r>
    <s v="TX502286"/>
    <x v="18"/>
    <x v="13"/>
    <n v="81.2"/>
    <n v="487.20000000000005"/>
    <d v="2025-03-26T00:00:00"/>
    <d v="2025-03-28T00:00:00"/>
    <s v="M"/>
    <x v="2"/>
    <x v="2"/>
    <x v="0"/>
    <x v="8"/>
    <x v="1"/>
    <x v="12"/>
    <x v="1"/>
  </r>
  <r>
    <s v="TX502287"/>
    <x v="1"/>
    <x v="21"/>
    <n v="35.700000000000003"/>
    <n v="499.80000000000007"/>
    <d v="2025-03-26T00:00:00"/>
    <d v="2025-03-27T00:00:00"/>
    <s v="M"/>
    <x v="3"/>
    <x v="0"/>
    <x v="0"/>
    <x v="8"/>
    <x v="3"/>
    <x v="12"/>
    <x v="1"/>
  </r>
  <r>
    <s v="TX502288"/>
    <x v="7"/>
    <x v="1"/>
    <n v="44.5"/>
    <n v="89"/>
    <d v="2025-03-26T00:00:00"/>
    <d v="2025-03-29T00:00:00"/>
    <s v="M"/>
    <x v="4"/>
    <x v="0"/>
    <x v="0"/>
    <x v="9"/>
    <x v="2"/>
    <x v="12"/>
    <x v="1"/>
  </r>
  <r>
    <s v="TX502289"/>
    <x v="1"/>
    <x v="9"/>
    <n v="32"/>
    <n v="160"/>
    <d v="2025-03-26T00:00:00"/>
    <d v="2025-03-28T00:00:00"/>
    <s v="O"/>
    <x v="1"/>
    <x v="1"/>
    <x v="0"/>
    <x v="9"/>
    <x v="1"/>
    <x v="12"/>
    <x v="3"/>
  </r>
  <r>
    <s v="TX502290"/>
    <x v="8"/>
    <x v="0"/>
    <n v="25.7"/>
    <n v="25.7"/>
    <d v="2025-03-26T00:00:00"/>
    <d v="2025-03-27T00:00:00"/>
    <s v="M"/>
    <x v="0"/>
    <x v="0"/>
    <x v="0"/>
    <x v="10"/>
    <x v="3"/>
    <x v="12"/>
    <x v="1"/>
  </r>
  <r>
    <s v="TX502291"/>
    <x v="16"/>
    <x v="2"/>
    <n v="65.599999999999994"/>
    <n v="196.79999999999998"/>
    <d v="2025-03-26T00:00:00"/>
    <d v="2025-04-01T00:00:00"/>
    <s v="M"/>
    <x v="0"/>
    <x v="0"/>
    <x v="0"/>
    <x v="11"/>
    <x v="4"/>
    <x v="12"/>
    <x v="1"/>
  </r>
  <r>
    <s v="TX502292"/>
    <x v="1"/>
    <x v="12"/>
    <n v="52.1"/>
    <n v="208.4"/>
    <d v="2025-03-26T00:00:00"/>
    <d v="2025-03-27T00:00:00"/>
    <s v="F"/>
    <x v="0"/>
    <x v="2"/>
    <x v="0"/>
    <x v="11"/>
    <x v="3"/>
    <x v="12"/>
    <x v="2"/>
  </r>
  <r>
    <s v="TX502293"/>
    <x v="8"/>
    <x v="0"/>
    <n v="31"/>
    <n v="31"/>
    <d v="2025-03-26T00:00:00"/>
    <d v="2025-03-27T00:00:00"/>
    <s v="M"/>
    <x v="0"/>
    <x v="1"/>
    <x v="0"/>
    <x v="19"/>
    <x v="3"/>
    <x v="12"/>
    <x v="1"/>
  </r>
  <r>
    <s v="TX502294"/>
    <x v="8"/>
    <x v="0"/>
    <n v="32"/>
    <n v="32"/>
    <d v="2025-03-26T00:00:00"/>
    <d v="2025-03-28T00:00:00"/>
    <s v="O"/>
    <x v="3"/>
    <x v="1"/>
    <x v="0"/>
    <x v="31"/>
    <x v="1"/>
    <x v="12"/>
    <x v="3"/>
  </r>
  <r>
    <s v="TX502295"/>
    <x v="16"/>
    <x v="12"/>
    <n v="58.3"/>
    <n v="233.2"/>
    <d v="2025-03-26T00:00:00"/>
    <d v="2025-03-30T00:00:00"/>
    <s v="M"/>
    <x v="1"/>
    <x v="4"/>
    <x v="0"/>
    <x v="20"/>
    <x v="5"/>
    <x v="12"/>
    <x v="1"/>
  </r>
  <r>
    <s v="TX502296"/>
    <x v="8"/>
    <x v="2"/>
    <n v="31"/>
    <n v="93"/>
    <d v="2025-03-26T00:00:00"/>
    <d v="2025-03-28T00:00:00"/>
    <s v="F"/>
    <x v="2"/>
    <x v="4"/>
    <x v="0"/>
    <x v="13"/>
    <x v="1"/>
    <x v="12"/>
    <x v="2"/>
  </r>
  <r>
    <s v="TX502297"/>
    <x v="3"/>
    <x v="0"/>
    <n v="40.299999999999997"/>
    <n v="40.299999999999997"/>
    <d v="2025-03-26T00:00:00"/>
    <d v="2025-03-27T00:00:00"/>
    <s v="M"/>
    <x v="1"/>
    <x v="2"/>
    <x v="0"/>
    <x v="54"/>
    <x v="3"/>
    <x v="12"/>
    <x v="1"/>
  </r>
  <r>
    <s v="TX502298"/>
    <x v="6"/>
    <x v="2"/>
    <n v="47.3"/>
    <n v="141.89999999999998"/>
    <d v="2025-03-26T00:00:00"/>
    <d v="2025-03-28T00:00:00"/>
    <s v="M"/>
    <x v="4"/>
    <x v="2"/>
    <x v="0"/>
    <x v="2"/>
    <x v="1"/>
    <x v="12"/>
    <x v="1"/>
  </r>
  <r>
    <s v="TX502299"/>
    <x v="2"/>
    <x v="0"/>
    <n v="82.8"/>
    <n v="82.8"/>
    <d v="2025-03-26T00:00:00"/>
    <d v="2025-03-27T00:00:00"/>
    <s v="M"/>
    <x v="0"/>
    <x v="0"/>
    <x v="0"/>
    <x v="2"/>
    <x v="3"/>
    <x v="12"/>
    <x v="1"/>
  </r>
  <r>
    <s v="TX502300"/>
    <x v="8"/>
    <x v="0"/>
    <n v="18.5"/>
    <n v="18.5"/>
    <d v="2025-03-26T00:00:00"/>
    <d v="2025-04-09T00:00:00"/>
    <s v="F"/>
    <x v="0"/>
    <x v="0"/>
    <x v="0"/>
    <x v="44"/>
    <x v="12"/>
    <x v="12"/>
    <x v="2"/>
  </r>
  <r>
    <s v="TX502301"/>
    <x v="3"/>
    <x v="1"/>
    <n v="60.4"/>
    <n v="120.8"/>
    <d v="2025-03-26T00:00:00"/>
    <d v="2025-03-27T00:00:00"/>
    <s v="M"/>
    <x v="2"/>
    <x v="0"/>
    <x v="0"/>
    <x v="22"/>
    <x v="3"/>
    <x v="12"/>
    <x v="1"/>
  </r>
  <r>
    <s v="TX502302"/>
    <x v="6"/>
    <x v="9"/>
    <n v="80.2"/>
    <n v="401"/>
    <d v="2025-03-26T00:00:00"/>
    <d v="2025-04-02T00:00:00"/>
    <s v="M"/>
    <x v="1"/>
    <x v="1"/>
    <x v="0"/>
    <x v="50"/>
    <x v="6"/>
    <x v="12"/>
    <x v="1"/>
  </r>
  <r>
    <s v="TX502303"/>
    <x v="4"/>
    <x v="0"/>
    <n v="41.5"/>
    <n v="41.5"/>
    <d v="2025-03-26T00:00:00"/>
    <d v="2025-03-28T00:00:00"/>
    <s v="M"/>
    <x v="2"/>
    <x v="0"/>
    <x v="0"/>
    <x v="3"/>
    <x v="1"/>
    <x v="12"/>
    <x v="1"/>
  </r>
  <r>
    <s v="TX502304"/>
    <x v="2"/>
    <x v="1"/>
    <n v="83.9"/>
    <n v="167.8"/>
    <d v="2025-03-26T00:00:00"/>
    <d v="2025-03-29T00:00:00"/>
    <s v="F"/>
    <x v="0"/>
    <x v="0"/>
    <x v="0"/>
    <x v="3"/>
    <x v="2"/>
    <x v="12"/>
    <x v="2"/>
  </r>
  <r>
    <s v="TX502305"/>
    <x v="8"/>
    <x v="1"/>
    <n v="16.7"/>
    <n v="33.4"/>
    <d v="2025-03-26T00:00:00"/>
    <d v="2025-03-30T00:00:00"/>
    <s v="F"/>
    <x v="0"/>
    <x v="1"/>
    <x v="0"/>
    <x v="3"/>
    <x v="5"/>
    <x v="12"/>
    <x v="2"/>
  </r>
  <r>
    <s v="TX502306"/>
    <x v="9"/>
    <x v="1"/>
    <n v="72.900000000000006"/>
    <n v="145.80000000000001"/>
    <d v="2025-03-26T00:00:00"/>
    <d v="2025-03-27T00:00:00"/>
    <s v="M"/>
    <x v="2"/>
    <x v="1"/>
    <x v="0"/>
    <x v="3"/>
    <x v="3"/>
    <x v="12"/>
    <x v="1"/>
  </r>
  <r>
    <s v="TX502307"/>
    <x v="5"/>
    <x v="1"/>
    <n v="50.2"/>
    <n v="100.4"/>
    <d v="2025-03-26T00:00:00"/>
    <d v="2025-03-28T00:00:00"/>
    <s v="F"/>
    <x v="1"/>
    <x v="2"/>
    <x v="0"/>
    <x v="3"/>
    <x v="1"/>
    <x v="12"/>
    <x v="2"/>
  </r>
  <r>
    <s v="TX502308"/>
    <x v="3"/>
    <x v="1"/>
    <n v="34.200000000000003"/>
    <n v="68.400000000000006"/>
    <d v="2025-03-26T00:00:00"/>
    <d v="2025-04-05T00:00:00"/>
    <s v=""/>
    <x v="1"/>
    <x v="0"/>
    <x v="0"/>
    <x v="3"/>
    <x v="14"/>
    <x v="12"/>
    <x v="0"/>
  </r>
  <r>
    <s v="TX502309"/>
    <x v="5"/>
    <x v="1"/>
    <n v="107.9"/>
    <n v="215.8"/>
    <d v="2025-03-26T00:00:00"/>
    <d v="2025-03-26T00:00:00"/>
    <s v="M"/>
    <x v="1"/>
    <x v="4"/>
    <x v="0"/>
    <x v="3"/>
    <x v="7"/>
    <x v="12"/>
    <x v="1"/>
  </r>
  <r>
    <s v="TX502310"/>
    <x v="0"/>
    <x v="2"/>
    <n v="17.5"/>
    <n v="52.5"/>
    <d v="2025-03-26T00:00:00"/>
    <d v="2025-03-28T00:00:00"/>
    <s v="M"/>
    <x v="4"/>
    <x v="0"/>
    <x v="0"/>
    <x v="3"/>
    <x v="1"/>
    <x v="12"/>
    <x v="1"/>
  </r>
  <r>
    <s v="TX502311"/>
    <x v="13"/>
    <x v="20"/>
    <n v="44.7"/>
    <n v="670.5"/>
    <d v="2025-03-26T00:00:00"/>
    <d v="2025-03-27T00:00:00"/>
    <s v="M"/>
    <x v="0"/>
    <x v="1"/>
    <x v="0"/>
    <x v="3"/>
    <x v="3"/>
    <x v="12"/>
    <x v="1"/>
  </r>
  <r>
    <s v="TX502312"/>
    <x v="12"/>
    <x v="13"/>
    <n v="92.7"/>
    <n v="556.20000000000005"/>
    <d v="2025-03-26T00:00:00"/>
    <d v="2025-03-28T00:00:00"/>
    <s v="F"/>
    <x v="2"/>
    <x v="1"/>
    <x v="0"/>
    <x v="3"/>
    <x v="1"/>
    <x v="12"/>
    <x v="2"/>
  </r>
  <r>
    <s v="TX502313"/>
    <x v="7"/>
    <x v="2"/>
    <n v="48.8"/>
    <n v="146.39999999999998"/>
    <d v="2025-03-26T00:00:00"/>
    <d v="2025-03-28T00:00:00"/>
    <s v="F"/>
    <x v="2"/>
    <x v="0"/>
    <x v="0"/>
    <x v="3"/>
    <x v="1"/>
    <x v="12"/>
    <x v="2"/>
  </r>
  <r>
    <s v="TX502314"/>
    <x v="4"/>
    <x v="27"/>
    <n v="21.3"/>
    <n v="340.8"/>
    <d v="2025-03-26T00:00:00"/>
    <d v="2025-03-30T00:00:00"/>
    <s v="F"/>
    <x v="3"/>
    <x v="3"/>
    <x v="0"/>
    <x v="3"/>
    <x v="5"/>
    <x v="12"/>
    <x v="2"/>
  </r>
  <r>
    <s v="TX502315"/>
    <x v="16"/>
    <x v="0"/>
    <n v="52.5"/>
    <n v="52.5"/>
    <d v="2025-03-26T00:00:00"/>
    <d v="2025-03-27T00:00:00"/>
    <s v="F"/>
    <x v="0"/>
    <x v="0"/>
    <x v="0"/>
    <x v="3"/>
    <x v="3"/>
    <x v="12"/>
    <x v="2"/>
  </r>
  <r>
    <s v="TX502316"/>
    <x v="1"/>
    <x v="1"/>
    <n v="92.4"/>
    <n v="184.8"/>
    <d v="2025-03-26T00:00:00"/>
    <d v="2025-04-01T00:00:00"/>
    <s v="F"/>
    <x v="0"/>
    <x v="2"/>
    <x v="0"/>
    <x v="3"/>
    <x v="4"/>
    <x v="12"/>
    <x v="2"/>
  </r>
  <r>
    <s v="TX502317"/>
    <x v="4"/>
    <x v="5"/>
    <n v="58.3"/>
    <n v="641.29999999999995"/>
    <d v="2025-03-26T00:00:00"/>
    <d v="2025-03-28T00:00:00"/>
    <s v="M"/>
    <x v="1"/>
    <x v="2"/>
    <x v="0"/>
    <x v="3"/>
    <x v="1"/>
    <x v="12"/>
    <x v="1"/>
  </r>
  <r>
    <s v="TX502318"/>
    <x v="6"/>
    <x v="44"/>
    <n v="152.6"/>
    <n v="3509.7999999999997"/>
    <d v="2025-03-27T00:00:00"/>
    <d v="2025-03-29T00:00:00"/>
    <s v=""/>
    <x v="0"/>
    <x v="0"/>
    <x v="0"/>
    <x v="3"/>
    <x v="1"/>
    <x v="12"/>
    <x v="0"/>
  </r>
  <r>
    <s v="TX502319"/>
    <x v="8"/>
    <x v="1"/>
    <n v="26"/>
    <n v="52"/>
    <d v="2025-03-27T00:00:00"/>
    <d v="2025-03-27T00:00:00"/>
    <s v=""/>
    <x v="0"/>
    <x v="1"/>
    <x v="0"/>
    <x v="3"/>
    <x v="7"/>
    <x v="12"/>
    <x v="0"/>
  </r>
  <r>
    <s v="TX502320"/>
    <x v="1"/>
    <x v="12"/>
    <n v="33.1"/>
    <n v="132.4"/>
    <d v="2025-03-27T00:00:00"/>
    <d v="2025-03-27T00:00:00"/>
    <s v="M"/>
    <x v="2"/>
    <x v="4"/>
    <x v="0"/>
    <x v="5"/>
    <x v="7"/>
    <x v="12"/>
    <x v="1"/>
  </r>
  <r>
    <s v="TX502321"/>
    <x v="18"/>
    <x v="0"/>
    <n v="51.4"/>
    <n v="51.4"/>
    <d v="2025-03-27T00:00:00"/>
    <d v="2025-03-29T00:00:00"/>
    <s v="F"/>
    <x v="1"/>
    <x v="1"/>
    <x v="0"/>
    <x v="5"/>
    <x v="1"/>
    <x v="12"/>
    <x v="2"/>
  </r>
  <r>
    <s v="TX502322"/>
    <x v="8"/>
    <x v="1"/>
    <n v="30.2"/>
    <n v="60.4"/>
    <d v="2025-03-27T00:00:00"/>
    <d v="2025-03-28T00:00:00"/>
    <s v="F"/>
    <x v="2"/>
    <x v="2"/>
    <x v="0"/>
    <x v="6"/>
    <x v="3"/>
    <x v="12"/>
    <x v="2"/>
  </r>
  <r>
    <s v="TX502323"/>
    <x v="2"/>
    <x v="13"/>
    <n v="97"/>
    <n v="582"/>
    <d v="2025-03-27T00:00:00"/>
    <d v="2025-03-31T00:00:00"/>
    <s v="F"/>
    <x v="0"/>
    <x v="2"/>
    <x v="0"/>
    <x v="7"/>
    <x v="5"/>
    <x v="12"/>
    <x v="2"/>
  </r>
  <r>
    <s v="TX502324"/>
    <x v="2"/>
    <x v="0"/>
    <n v="76.900000000000006"/>
    <n v="76.900000000000006"/>
    <d v="2025-03-27T00:00:00"/>
    <d v="2025-03-28T00:00:00"/>
    <s v="M"/>
    <x v="1"/>
    <x v="2"/>
    <x v="0"/>
    <x v="8"/>
    <x v="3"/>
    <x v="12"/>
    <x v="1"/>
  </r>
  <r>
    <s v="TX502325"/>
    <x v="7"/>
    <x v="13"/>
    <n v="36.1"/>
    <n v="216.60000000000002"/>
    <d v="2025-03-27T00:00:00"/>
    <d v="2025-03-31T00:00:00"/>
    <s v="F"/>
    <x v="0"/>
    <x v="0"/>
    <x v="0"/>
    <x v="8"/>
    <x v="5"/>
    <x v="12"/>
    <x v="2"/>
  </r>
  <r>
    <s v="TX502326"/>
    <x v="1"/>
    <x v="3"/>
    <n v="34.4"/>
    <n v="240.79999999999998"/>
    <d v="2025-03-27T00:00:00"/>
    <d v="2025-03-27T00:00:00"/>
    <s v="F"/>
    <x v="2"/>
    <x v="1"/>
    <x v="0"/>
    <x v="11"/>
    <x v="7"/>
    <x v="12"/>
    <x v="2"/>
  </r>
  <r>
    <s v="TX502327"/>
    <x v="1"/>
    <x v="31"/>
    <n v="53.4"/>
    <n v="1495.2"/>
    <d v="2025-03-27T00:00:00"/>
    <d v="2025-03-29T00:00:00"/>
    <s v="F"/>
    <x v="1"/>
    <x v="0"/>
    <x v="0"/>
    <x v="18"/>
    <x v="1"/>
    <x v="12"/>
    <x v="2"/>
  </r>
  <r>
    <s v="TX502328"/>
    <x v="2"/>
    <x v="0"/>
    <n v="77.599999999999994"/>
    <n v="77.599999999999994"/>
    <d v="2025-03-27T00:00:00"/>
    <d v="2025-03-28T00:00:00"/>
    <s v="F"/>
    <x v="0"/>
    <x v="1"/>
    <x v="0"/>
    <x v="19"/>
    <x v="3"/>
    <x v="12"/>
    <x v="2"/>
  </r>
  <r>
    <s v="TX502329"/>
    <x v="1"/>
    <x v="2"/>
    <n v="71.7"/>
    <n v="215.10000000000002"/>
    <d v="2025-03-27T00:00:00"/>
    <d v="2025-03-30T00:00:00"/>
    <s v="F"/>
    <x v="1"/>
    <x v="0"/>
    <x v="0"/>
    <x v="19"/>
    <x v="2"/>
    <x v="12"/>
    <x v="2"/>
  </r>
  <r>
    <s v="TX502330"/>
    <x v="3"/>
    <x v="2"/>
    <n v="80.599999999999994"/>
    <n v="241.79999999999998"/>
    <d v="2025-03-27T00:00:00"/>
    <d v="2025-03-28T00:00:00"/>
    <s v="M"/>
    <x v="4"/>
    <x v="1"/>
    <x v="0"/>
    <x v="19"/>
    <x v="3"/>
    <x v="12"/>
    <x v="1"/>
  </r>
  <r>
    <s v="TX502331"/>
    <x v="1"/>
    <x v="20"/>
    <n v="70"/>
    <n v="1050"/>
    <d v="2025-03-27T00:00:00"/>
    <d v="2025-03-29T00:00:00"/>
    <s v="M"/>
    <x v="0"/>
    <x v="0"/>
    <x v="0"/>
    <x v="20"/>
    <x v="1"/>
    <x v="12"/>
    <x v="1"/>
  </r>
  <r>
    <s v="TX502332"/>
    <x v="4"/>
    <x v="13"/>
    <n v="27.3"/>
    <n v="163.80000000000001"/>
    <d v="2025-03-27T00:00:00"/>
    <d v="2025-03-29T00:00:00"/>
    <s v="F"/>
    <x v="1"/>
    <x v="1"/>
    <x v="0"/>
    <x v="2"/>
    <x v="1"/>
    <x v="12"/>
    <x v="2"/>
  </r>
  <r>
    <s v="TX502333"/>
    <x v="8"/>
    <x v="21"/>
    <n v="37.6"/>
    <n v="526.4"/>
    <d v="2025-03-27T00:00:00"/>
    <d v="2025-03-29T00:00:00"/>
    <s v="M"/>
    <x v="1"/>
    <x v="0"/>
    <x v="0"/>
    <x v="3"/>
    <x v="1"/>
    <x v="12"/>
    <x v="1"/>
  </r>
  <r>
    <s v="TX502334"/>
    <x v="5"/>
    <x v="2"/>
    <n v="36.6"/>
    <n v="109.80000000000001"/>
    <d v="2025-03-27T00:00:00"/>
    <d v="2025-03-29T00:00:00"/>
    <s v="F"/>
    <x v="4"/>
    <x v="0"/>
    <x v="0"/>
    <x v="3"/>
    <x v="1"/>
    <x v="12"/>
    <x v="2"/>
  </r>
  <r>
    <s v="TX502335"/>
    <x v="13"/>
    <x v="0"/>
    <n v="55.2"/>
    <n v="55.2"/>
    <d v="2025-03-27T00:00:00"/>
    <d v="2025-03-29T00:00:00"/>
    <s v="M"/>
    <x v="3"/>
    <x v="0"/>
    <x v="0"/>
    <x v="3"/>
    <x v="1"/>
    <x v="12"/>
    <x v="1"/>
  </r>
  <r>
    <s v="TX502336"/>
    <x v="6"/>
    <x v="9"/>
    <n v="59.9"/>
    <n v="299.5"/>
    <d v="2025-03-27T00:00:00"/>
    <d v="2025-03-29T00:00:00"/>
    <s v="M"/>
    <x v="0"/>
    <x v="0"/>
    <x v="0"/>
    <x v="3"/>
    <x v="1"/>
    <x v="12"/>
    <x v="1"/>
  </r>
  <r>
    <s v="TX502337"/>
    <x v="6"/>
    <x v="0"/>
    <n v="44"/>
    <n v="44"/>
    <d v="2025-03-27T00:00:00"/>
    <d v="2025-03-28T00:00:00"/>
    <s v="F"/>
    <x v="2"/>
    <x v="2"/>
    <x v="0"/>
    <x v="3"/>
    <x v="3"/>
    <x v="12"/>
    <x v="2"/>
  </r>
  <r>
    <s v="TX502338"/>
    <x v="9"/>
    <x v="1"/>
    <n v="68.7"/>
    <n v="137.4"/>
    <d v="2025-03-27T00:00:00"/>
    <d v="2025-03-27T00:00:00"/>
    <s v="M"/>
    <x v="0"/>
    <x v="0"/>
    <x v="0"/>
    <x v="3"/>
    <x v="7"/>
    <x v="12"/>
    <x v="1"/>
  </r>
  <r>
    <s v="TX502339"/>
    <x v="5"/>
    <x v="1"/>
    <n v="61.6"/>
    <n v="123.2"/>
    <d v="2025-03-27T00:00:00"/>
    <d v="2025-03-31T00:00:00"/>
    <s v="M"/>
    <x v="3"/>
    <x v="1"/>
    <x v="0"/>
    <x v="3"/>
    <x v="5"/>
    <x v="12"/>
    <x v="1"/>
  </r>
  <r>
    <s v="TX502340"/>
    <x v="7"/>
    <x v="3"/>
    <n v="51.8"/>
    <n v="362.59999999999997"/>
    <d v="2025-03-27T00:00:00"/>
    <d v="2025-03-28T00:00:00"/>
    <s v="M"/>
    <x v="0"/>
    <x v="0"/>
    <x v="0"/>
    <x v="3"/>
    <x v="3"/>
    <x v="12"/>
    <x v="1"/>
  </r>
  <r>
    <s v="TX502341"/>
    <x v="8"/>
    <x v="7"/>
    <n v="46.2"/>
    <n v="462"/>
    <d v="2025-03-27T00:00:00"/>
    <d v="2025-03-29T00:00:00"/>
    <s v="M"/>
    <x v="1"/>
    <x v="2"/>
    <x v="0"/>
    <x v="3"/>
    <x v="1"/>
    <x v="12"/>
    <x v="1"/>
  </r>
  <r>
    <s v="TX502342"/>
    <x v="0"/>
    <x v="1"/>
    <n v="19.399999999999999"/>
    <n v="38.799999999999997"/>
    <d v="2025-03-27T00:00:00"/>
    <d v="2025-03-29T00:00:00"/>
    <s v="F"/>
    <x v="1"/>
    <x v="2"/>
    <x v="0"/>
    <x v="6"/>
    <x v="1"/>
    <x v="12"/>
    <x v="2"/>
  </r>
  <r>
    <s v="TX502343"/>
    <x v="11"/>
    <x v="2"/>
    <n v="52.1"/>
    <n v="156.30000000000001"/>
    <d v="2025-03-27T00:00:00"/>
    <d v="2025-03-30T00:00:00"/>
    <s v="M"/>
    <x v="3"/>
    <x v="3"/>
    <x v="0"/>
    <x v="6"/>
    <x v="2"/>
    <x v="12"/>
    <x v="1"/>
  </r>
  <r>
    <s v="TX502344"/>
    <x v="6"/>
    <x v="0"/>
    <n v="74.900000000000006"/>
    <n v="74.900000000000006"/>
    <d v="2025-03-27T00:00:00"/>
    <d v="2025-03-29T00:00:00"/>
    <s v="O"/>
    <x v="0"/>
    <x v="0"/>
    <x v="0"/>
    <x v="7"/>
    <x v="1"/>
    <x v="12"/>
    <x v="3"/>
  </r>
  <r>
    <s v="TX502345"/>
    <x v="9"/>
    <x v="3"/>
    <n v="49.6"/>
    <n v="347.2"/>
    <d v="2025-03-27T00:00:00"/>
    <d v="2025-03-30T00:00:00"/>
    <s v="F"/>
    <x v="4"/>
    <x v="0"/>
    <x v="0"/>
    <x v="8"/>
    <x v="2"/>
    <x v="12"/>
    <x v="2"/>
  </r>
  <r>
    <s v="TX502346"/>
    <x v="16"/>
    <x v="12"/>
    <n v="82.8"/>
    <n v="331.2"/>
    <d v="2025-03-28T00:00:00"/>
    <d v="2025-03-31T00:00:00"/>
    <s v="F"/>
    <x v="4"/>
    <x v="0"/>
    <x v="0"/>
    <x v="8"/>
    <x v="2"/>
    <x v="12"/>
    <x v="2"/>
  </r>
  <r>
    <s v="TX502347"/>
    <x v="2"/>
    <x v="0"/>
    <n v="97.7"/>
    <n v="97.7"/>
    <d v="2025-03-28T00:00:00"/>
    <d v="2025-03-29T00:00:00"/>
    <s v="F"/>
    <x v="1"/>
    <x v="0"/>
    <x v="0"/>
    <x v="8"/>
    <x v="3"/>
    <x v="12"/>
    <x v="2"/>
  </r>
  <r>
    <s v="TX502348"/>
    <x v="6"/>
    <x v="9"/>
    <n v="83.6"/>
    <n v="418"/>
    <d v="2025-03-28T00:00:00"/>
    <d v="2025-03-29T00:00:00"/>
    <s v="F"/>
    <x v="4"/>
    <x v="0"/>
    <x v="0"/>
    <x v="8"/>
    <x v="3"/>
    <x v="12"/>
    <x v="2"/>
  </r>
  <r>
    <s v="TX502349"/>
    <x v="8"/>
    <x v="9"/>
    <n v="23.5"/>
    <n v="117.5"/>
    <d v="2025-03-28T00:00:00"/>
    <d v="2025-04-01T00:00:00"/>
    <s v="O"/>
    <x v="0"/>
    <x v="0"/>
    <x v="0"/>
    <x v="8"/>
    <x v="5"/>
    <x v="12"/>
    <x v="3"/>
  </r>
  <r>
    <s v="TX502350"/>
    <x v="9"/>
    <x v="2"/>
    <n v="44.6"/>
    <n v="133.80000000000001"/>
    <d v="2025-03-28T00:00:00"/>
    <d v="2025-03-31T00:00:00"/>
    <s v="F"/>
    <x v="4"/>
    <x v="1"/>
    <x v="0"/>
    <x v="26"/>
    <x v="2"/>
    <x v="12"/>
    <x v="2"/>
  </r>
  <r>
    <s v="TX502351"/>
    <x v="0"/>
    <x v="2"/>
    <n v="20.100000000000001"/>
    <n v="60.300000000000004"/>
    <d v="2025-03-28T00:00:00"/>
    <d v="2025-03-30T00:00:00"/>
    <s v="F"/>
    <x v="3"/>
    <x v="4"/>
    <x v="0"/>
    <x v="11"/>
    <x v="1"/>
    <x v="12"/>
    <x v="2"/>
  </r>
  <r>
    <s v="TX502352"/>
    <x v="2"/>
    <x v="9"/>
    <n v="153.6"/>
    <n v="768"/>
    <d v="2025-03-28T00:00:00"/>
    <d v="2025-03-29T00:00:00"/>
    <s v="F"/>
    <x v="1"/>
    <x v="2"/>
    <x v="0"/>
    <x v="53"/>
    <x v="3"/>
    <x v="12"/>
    <x v="2"/>
  </r>
  <r>
    <s v="TX502353"/>
    <x v="1"/>
    <x v="1"/>
    <n v="71.8"/>
    <n v="143.6"/>
    <d v="2025-03-28T00:00:00"/>
    <d v="2025-04-01T00:00:00"/>
    <s v="F"/>
    <x v="1"/>
    <x v="0"/>
    <x v="0"/>
    <x v="1"/>
    <x v="5"/>
    <x v="12"/>
    <x v="2"/>
  </r>
  <r>
    <s v="TX502354"/>
    <x v="10"/>
    <x v="0"/>
    <n v="64.7"/>
    <n v="64.7"/>
    <d v="2025-03-28T00:00:00"/>
    <d v="2025-03-30T00:00:00"/>
    <s v=""/>
    <x v="0"/>
    <x v="1"/>
    <x v="0"/>
    <x v="1"/>
    <x v="1"/>
    <x v="12"/>
    <x v="0"/>
  </r>
  <r>
    <s v="TX502355"/>
    <x v="9"/>
    <x v="8"/>
    <n v="60.4"/>
    <n v="483.2"/>
    <d v="2025-03-28T00:00:00"/>
    <d v="2025-03-30T00:00:00"/>
    <s v="F"/>
    <x v="3"/>
    <x v="2"/>
    <x v="0"/>
    <x v="2"/>
    <x v="1"/>
    <x v="12"/>
    <x v="2"/>
  </r>
  <r>
    <s v="TX502356"/>
    <x v="6"/>
    <x v="12"/>
    <n v="86"/>
    <n v="344"/>
    <d v="2025-03-28T00:00:00"/>
    <d v="2025-03-31T00:00:00"/>
    <s v="F"/>
    <x v="2"/>
    <x v="2"/>
    <x v="0"/>
    <x v="22"/>
    <x v="2"/>
    <x v="12"/>
    <x v="2"/>
  </r>
  <r>
    <s v="TX502357"/>
    <x v="12"/>
    <x v="1"/>
    <n v="42.1"/>
    <n v="84.2"/>
    <d v="2025-03-28T00:00:00"/>
    <d v="2025-03-29T00:00:00"/>
    <s v="F"/>
    <x v="4"/>
    <x v="1"/>
    <x v="0"/>
    <x v="34"/>
    <x v="3"/>
    <x v="12"/>
    <x v="2"/>
  </r>
  <r>
    <s v="TX502358"/>
    <x v="16"/>
    <x v="11"/>
    <n v="51.1"/>
    <n v="459.90000000000003"/>
    <d v="2025-03-28T00:00:00"/>
    <d v="2025-03-29T00:00:00"/>
    <s v="M"/>
    <x v="2"/>
    <x v="1"/>
    <x v="0"/>
    <x v="3"/>
    <x v="3"/>
    <x v="12"/>
    <x v="1"/>
  </r>
  <r>
    <s v="TX502359"/>
    <x v="9"/>
    <x v="12"/>
    <n v="73.8"/>
    <n v="295.2"/>
    <d v="2025-03-28T00:00:00"/>
    <d v="2025-03-29T00:00:00"/>
    <s v="M"/>
    <x v="4"/>
    <x v="0"/>
    <x v="0"/>
    <x v="3"/>
    <x v="3"/>
    <x v="12"/>
    <x v="1"/>
  </r>
  <r>
    <s v="TX502360"/>
    <x v="8"/>
    <x v="9"/>
    <n v="27"/>
    <n v="135"/>
    <d v="2025-03-28T00:00:00"/>
    <d v="2025-03-31T00:00:00"/>
    <s v="F"/>
    <x v="2"/>
    <x v="2"/>
    <x v="0"/>
    <x v="3"/>
    <x v="2"/>
    <x v="12"/>
    <x v="2"/>
  </r>
  <r>
    <s v="TX502361"/>
    <x v="8"/>
    <x v="13"/>
    <n v="60.1"/>
    <n v="360.6"/>
    <d v="2025-03-28T00:00:00"/>
    <d v="2025-03-29T00:00:00"/>
    <s v="M"/>
    <x v="3"/>
    <x v="0"/>
    <x v="0"/>
    <x v="3"/>
    <x v="3"/>
    <x v="12"/>
    <x v="1"/>
  </r>
  <r>
    <s v="TX502362"/>
    <x v="2"/>
    <x v="3"/>
    <n v="94.1"/>
    <n v="658.69999999999993"/>
    <d v="2025-03-28T00:00:00"/>
    <d v="2025-03-30T00:00:00"/>
    <s v="F"/>
    <x v="4"/>
    <x v="1"/>
    <x v="0"/>
    <x v="3"/>
    <x v="1"/>
    <x v="12"/>
    <x v="2"/>
  </r>
  <r>
    <s v="TX502363"/>
    <x v="2"/>
    <x v="1"/>
    <n v="124.1"/>
    <n v="248.2"/>
    <d v="2025-03-28T00:00:00"/>
    <d v="2025-03-28T00:00:00"/>
    <s v="F"/>
    <x v="2"/>
    <x v="3"/>
    <x v="0"/>
    <x v="43"/>
    <x v="7"/>
    <x v="12"/>
    <x v="2"/>
  </r>
  <r>
    <s v="TX502364"/>
    <x v="8"/>
    <x v="12"/>
    <n v="16.899999999999999"/>
    <n v="67.599999999999994"/>
    <d v="2025-03-28T00:00:00"/>
    <d v="2025-03-31T00:00:00"/>
    <s v="M"/>
    <x v="3"/>
    <x v="0"/>
    <x v="0"/>
    <x v="6"/>
    <x v="2"/>
    <x v="12"/>
    <x v="1"/>
  </r>
  <r>
    <s v="TX502365"/>
    <x v="1"/>
    <x v="0"/>
    <n v="36.9"/>
    <n v="36.9"/>
    <d v="2025-03-28T00:00:00"/>
    <d v="2025-03-29T00:00:00"/>
    <s v="M"/>
    <x v="0"/>
    <x v="0"/>
    <x v="0"/>
    <x v="6"/>
    <x v="3"/>
    <x v="12"/>
    <x v="1"/>
  </r>
  <r>
    <s v="TX502366"/>
    <x v="9"/>
    <x v="1"/>
    <n v="22.6"/>
    <n v="45.2"/>
    <d v="2025-03-28T00:00:00"/>
    <d v="2025-04-10T00:00:00"/>
    <s v="F"/>
    <x v="2"/>
    <x v="1"/>
    <x v="0"/>
    <x v="8"/>
    <x v="10"/>
    <x v="12"/>
    <x v="2"/>
  </r>
  <r>
    <s v="TX502367"/>
    <x v="7"/>
    <x v="12"/>
    <n v="35"/>
    <n v="140"/>
    <d v="2025-03-28T00:00:00"/>
    <d v="2025-04-02T00:00:00"/>
    <s v="M"/>
    <x v="3"/>
    <x v="1"/>
    <x v="0"/>
    <x v="8"/>
    <x v="0"/>
    <x v="12"/>
    <x v="1"/>
  </r>
  <r>
    <s v="TX502368"/>
    <x v="9"/>
    <x v="13"/>
    <n v="63.6"/>
    <n v="381.6"/>
    <d v="2025-03-28T00:00:00"/>
    <d v="2025-04-04T00:00:00"/>
    <s v=""/>
    <x v="1"/>
    <x v="2"/>
    <x v="0"/>
    <x v="8"/>
    <x v="6"/>
    <x v="12"/>
    <x v="0"/>
  </r>
  <r>
    <s v="TX502369"/>
    <x v="15"/>
    <x v="12"/>
    <n v="78.599999999999994"/>
    <n v="314.39999999999998"/>
    <d v="2025-03-28T00:00:00"/>
    <d v="2025-03-29T00:00:00"/>
    <s v="M"/>
    <x v="4"/>
    <x v="1"/>
    <x v="0"/>
    <x v="8"/>
    <x v="3"/>
    <x v="12"/>
    <x v="1"/>
  </r>
  <r>
    <s v="TX502370"/>
    <x v="3"/>
    <x v="1"/>
    <n v="38.5"/>
    <n v="77"/>
    <d v="2025-03-28T00:00:00"/>
    <d v="2025-03-29T00:00:00"/>
    <s v="M"/>
    <x v="0"/>
    <x v="2"/>
    <x v="0"/>
    <x v="8"/>
    <x v="3"/>
    <x v="12"/>
    <x v="1"/>
  </r>
  <r>
    <s v="TX502371"/>
    <x v="8"/>
    <x v="5"/>
    <n v="71.5"/>
    <n v="786.5"/>
    <d v="2025-03-28T00:00:00"/>
    <d v="2025-03-29T00:00:00"/>
    <s v="F"/>
    <x v="1"/>
    <x v="4"/>
    <x v="0"/>
    <x v="8"/>
    <x v="3"/>
    <x v="12"/>
    <x v="2"/>
  </r>
  <r>
    <s v="TX502372"/>
    <x v="6"/>
    <x v="12"/>
    <n v="121.4"/>
    <n v="485.6"/>
    <d v="2025-03-28T00:00:00"/>
    <d v="2025-04-01T00:00:00"/>
    <s v="M"/>
    <x v="1"/>
    <x v="2"/>
    <x v="0"/>
    <x v="17"/>
    <x v="5"/>
    <x v="12"/>
    <x v="1"/>
  </r>
  <r>
    <s v="TX502373"/>
    <x v="11"/>
    <x v="0"/>
    <n v="40.200000000000003"/>
    <n v="40.200000000000003"/>
    <d v="2025-03-28T00:00:00"/>
    <d v="2025-03-31T00:00:00"/>
    <s v="F"/>
    <x v="0"/>
    <x v="2"/>
    <x v="0"/>
    <x v="11"/>
    <x v="2"/>
    <x v="12"/>
    <x v="2"/>
  </r>
  <r>
    <s v="TX502374"/>
    <x v="5"/>
    <x v="9"/>
    <n v="31.9"/>
    <n v="159.5"/>
    <d v="2025-03-28T00:00:00"/>
    <d v="2025-03-30T00:00:00"/>
    <s v="F"/>
    <x v="2"/>
    <x v="2"/>
    <x v="0"/>
    <x v="28"/>
    <x v="1"/>
    <x v="12"/>
    <x v="2"/>
  </r>
  <r>
    <s v="TX502375"/>
    <x v="14"/>
    <x v="9"/>
    <n v="15.8"/>
    <n v="79"/>
    <d v="2025-03-29T00:00:00"/>
    <d v="2025-03-30T00:00:00"/>
    <s v="M"/>
    <x v="3"/>
    <x v="2"/>
    <x v="0"/>
    <x v="21"/>
    <x v="3"/>
    <x v="12"/>
    <x v="1"/>
  </r>
  <r>
    <s v="TX502376"/>
    <x v="10"/>
    <x v="1"/>
    <n v="25.1"/>
    <n v="50.2"/>
    <d v="2025-03-29T00:00:00"/>
    <d v="2025-03-31T00:00:00"/>
    <s v=""/>
    <x v="1"/>
    <x v="0"/>
    <x v="0"/>
    <x v="21"/>
    <x v="1"/>
    <x v="12"/>
    <x v="0"/>
  </r>
  <r>
    <s v="TX502377"/>
    <x v="1"/>
    <x v="44"/>
    <n v="38.1"/>
    <n v="876.30000000000007"/>
    <d v="2025-03-29T00:00:00"/>
    <d v="2025-03-30T00:00:00"/>
    <s v="F"/>
    <x v="4"/>
    <x v="0"/>
    <x v="0"/>
    <x v="1"/>
    <x v="3"/>
    <x v="12"/>
    <x v="2"/>
  </r>
  <r>
    <s v="TX502378"/>
    <x v="3"/>
    <x v="1"/>
    <n v="42.2"/>
    <n v="84.4"/>
    <d v="2025-03-29T00:00:00"/>
    <d v="2025-03-31T00:00:00"/>
    <s v="F"/>
    <x v="0"/>
    <x v="2"/>
    <x v="0"/>
    <x v="1"/>
    <x v="1"/>
    <x v="12"/>
    <x v="2"/>
  </r>
  <r>
    <s v="TX502379"/>
    <x v="0"/>
    <x v="7"/>
    <n v="12.3"/>
    <n v="123"/>
    <d v="2025-03-29T00:00:00"/>
    <d v="2025-03-30T00:00:00"/>
    <s v="F"/>
    <x v="4"/>
    <x v="0"/>
    <x v="0"/>
    <x v="2"/>
    <x v="3"/>
    <x v="12"/>
    <x v="2"/>
  </r>
  <r>
    <s v="TX502380"/>
    <x v="7"/>
    <x v="0"/>
    <n v="30.2"/>
    <n v="30.2"/>
    <d v="2025-03-29T00:00:00"/>
    <d v="2025-03-31T00:00:00"/>
    <s v="F"/>
    <x v="1"/>
    <x v="2"/>
    <x v="0"/>
    <x v="34"/>
    <x v="1"/>
    <x v="12"/>
    <x v="2"/>
  </r>
  <r>
    <s v="TX502381"/>
    <x v="5"/>
    <x v="2"/>
    <n v="25.3"/>
    <n v="75.900000000000006"/>
    <d v="2025-03-29T00:00:00"/>
    <d v="2025-04-01T00:00:00"/>
    <s v="F"/>
    <x v="2"/>
    <x v="0"/>
    <x v="0"/>
    <x v="3"/>
    <x v="2"/>
    <x v="12"/>
    <x v="2"/>
  </r>
  <r>
    <s v="TX502382"/>
    <x v="8"/>
    <x v="9"/>
    <n v="29.7"/>
    <n v="148.5"/>
    <d v="2025-03-29T00:00:00"/>
    <d v="2025-03-31T00:00:00"/>
    <s v="M"/>
    <x v="3"/>
    <x v="0"/>
    <x v="0"/>
    <x v="3"/>
    <x v="1"/>
    <x v="12"/>
    <x v="1"/>
  </r>
  <r>
    <s v="TX502383"/>
    <x v="9"/>
    <x v="8"/>
    <n v="32.9"/>
    <n v="263.2"/>
    <d v="2025-03-29T00:00:00"/>
    <d v="2025-03-30T00:00:00"/>
    <s v=""/>
    <x v="3"/>
    <x v="2"/>
    <x v="0"/>
    <x v="3"/>
    <x v="3"/>
    <x v="12"/>
    <x v="0"/>
  </r>
  <r>
    <s v="TX502384"/>
    <x v="10"/>
    <x v="1"/>
    <n v="43.6"/>
    <n v="87.2"/>
    <d v="2025-03-29T00:00:00"/>
    <d v="2025-03-30T00:00:00"/>
    <s v="M"/>
    <x v="1"/>
    <x v="2"/>
    <x v="0"/>
    <x v="3"/>
    <x v="3"/>
    <x v="12"/>
    <x v="1"/>
  </r>
  <r>
    <s v="TX502385"/>
    <x v="15"/>
    <x v="12"/>
    <n v="78.400000000000006"/>
    <n v="313.60000000000002"/>
    <d v="2025-03-29T00:00:00"/>
    <d v="2025-03-30T00:00:00"/>
    <s v="M"/>
    <x v="2"/>
    <x v="0"/>
    <x v="0"/>
    <x v="3"/>
    <x v="3"/>
    <x v="12"/>
    <x v="1"/>
  </r>
  <r>
    <s v="TX502386"/>
    <x v="6"/>
    <x v="1"/>
    <n v="56.5"/>
    <n v="113"/>
    <d v="2025-03-29T00:00:00"/>
    <d v="2025-04-02T00:00:00"/>
    <s v="M"/>
    <x v="1"/>
    <x v="1"/>
    <x v="0"/>
    <x v="3"/>
    <x v="5"/>
    <x v="12"/>
    <x v="1"/>
  </r>
  <r>
    <s v="TX502387"/>
    <x v="16"/>
    <x v="0"/>
    <n v="36.700000000000003"/>
    <n v="36.700000000000003"/>
    <d v="2025-03-29T00:00:00"/>
    <d v="2025-03-30T00:00:00"/>
    <s v="F"/>
    <x v="0"/>
    <x v="2"/>
    <x v="0"/>
    <x v="3"/>
    <x v="3"/>
    <x v="12"/>
    <x v="2"/>
  </r>
  <r>
    <s v="TX502388"/>
    <x v="2"/>
    <x v="12"/>
    <n v="103.6"/>
    <n v="414.4"/>
    <d v="2025-03-29T00:00:00"/>
    <d v="2025-04-09T00:00:00"/>
    <s v="M"/>
    <x v="4"/>
    <x v="2"/>
    <x v="0"/>
    <x v="3"/>
    <x v="11"/>
    <x v="12"/>
    <x v="1"/>
  </r>
  <r>
    <s v="TX502389"/>
    <x v="8"/>
    <x v="13"/>
    <n v="16.2"/>
    <n v="97.199999999999989"/>
    <d v="2025-03-29T00:00:00"/>
    <d v="2025-04-02T00:00:00"/>
    <s v="M"/>
    <x v="1"/>
    <x v="2"/>
    <x v="0"/>
    <x v="6"/>
    <x v="5"/>
    <x v="12"/>
    <x v="1"/>
  </r>
  <r>
    <s v="TX502390"/>
    <x v="8"/>
    <x v="1"/>
    <n v="20.2"/>
    <n v="40.4"/>
    <d v="2025-03-29T00:00:00"/>
    <d v="2025-03-30T00:00:00"/>
    <s v="F"/>
    <x v="0"/>
    <x v="0"/>
    <x v="0"/>
    <x v="6"/>
    <x v="3"/>
    <x v="12"/>
    <x v="2"/>
  </r>
  <r>
    <s v="TX502391"/>
    <x v="11"/>
    <x v="1"/>
    <n v="26.9"/>
    <n v="53.8"/>
    <d v="2025-03-29T00:00:00"/>
    <d v="2025-03-31T00:00:00"/>
    <s v="F"/>
    <x v="2"/>
    <x v="0"/>
    <x v="0"/>
    <x v="6"/>
    <x v="1"/>
    <x v="12"/>
    <x v="2"/>
  </r>
  <r>
    <s v="TX502392"/>
    <x v="1"/>
    <x v="1"/>
    <n v="82.4"/>
    <n v="164.8"/>
    <d v="2025-03-29T00:00:00"/>
    <d v="2025-04-01T00:00:00"/>
    <s v=""/>
    <x v="0"/>
    <x v="0"/>
    <x v="0"/>
    <x v="7"/>
    <x v="2"/>
    <x v="12"/>
    <x v="0"/>
  </r>
  <r>
    <s v="TX502393"/>
    <x v="2"/>
    <x v="1"/>
    <n v="117.8"/>
    <n v="235.6"/>
    <d v="2025-03-29T00:00:00"/>
    <d v="2025-03-31T00:00:00"/>
    <s v="M"/>
    <x v="1"/>
    <x v="2"/>
    <x v="0"/>
    <x v="8"/>
    <x v="1"/>
    <x v="12"/>
    <x v="1"/>
  </r>
  <r>
    <s v="TX502394"/>
    <x v="11"/>
    <x v="12"/>
    <n v="36.700000000000003"/>
    <n v="146.80000000000001"/>
    <d v="2025-03-29T00:00:00"/>
    <d v="2025-03-30T00:00:00"/>
    <s v="M"/>
    <x v="1"/>
    <x v="0"/>
    <x v="0"/>
    <x v="8"/>
    <x v="3"/>
    <x v="12"/>
    <x v="1"/>
  </r>
  <r>
    <s v="TX502395"/>
    <x v="17"/>
    <x v="2"/>
    <n v="46.8"/>
    <n v="140.39999999999998"/>
    <d v="2025-03-29T00:00:00"/>
    <d v="2025-03-30T00:00:00"/>
    <s v="M"/>
    <x v="4"/>
    <x v="2"/>
    <x v="0"/>
    <x v="10"/>
    <x v="3"/>
    <x v="12"/>
    <x v="1"/>
  </r>
  <r>
    <s v="TX502396"/>
    <x v="3"/>
    <x v="0"/>
    <n v="61.4"/>
    <n v="61.4"/>
    <d v="2025-03-29T00:00:00"/>
    <d v="2025-03-30T00:00:00"/>
    <s v="M"/>
    <x v="1"/>
    <x v="0"/>
    <x v="0"/>
    <x v="10"/>
    <x v="3"/>
    <x v="12"/>
    <x v="1"/>
  </r>
  <r>
    <s v="TX502397"/>
    <x v="15"/>
    <x v="1"/>
    <n v="22.9"/>
    <n v="45.8"/>
    <d v="2025-03-29T00:00:00"/>
    <d v="2025-03-30T00:00:00"/>
    <s v="M"/>
    <x v="0"/>
    <x v="0"/>
    <x v="0"/>
    <x v="11"/>
    <x v="3"/>
    <x v="12"/>
    <x v="1"/>
  </r>
  <r>
    <s v="TX502398"/>
    <x v="10"/>
    <x v="1"/>
    <n v="22.1"/>
    <n v="44.2"/>
    <d v="2025-03-29T00:00:00"/>
    <d v="2025-03-30T00:00:00"/>
    <s v="F"/>
    <x v="4"/>
    <x v="0"/>
    <x v="0"/>
    <x v="11"/>
    <x v="3"/>
    <x v="12"/>
    <x v="2"/>
  </r>
  <r>
    <s v="TX502399"/>
    <x v="12"/>
    <x v="1"/>
    <n v="31"/>
    <n v="62"/>
    <d v="2025-03-29T00:00:00"/>
    <d v="2025-03-31T00:00:00"/>
    <s v="F"/>
    <x v="2"/>
    <x v="0"/>
    <x v="0"/>
    <x v="18"/>
    <x v="1"/>
    <x v="12"/>
    <x v="2"/>
  </r>
  <r>
    <s v="TX502400"/>
    <x v="18"/>
    <x v="1"/>
    <n v="84.2"/>
    <n v="168.4"/>
    <d v="2025-03-29T00:00:00"/>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grandTotalCaption="Total" updatedVersion="5" minRefreshableVersion="3" useAutoFormatting="1" itemPrintTitles="1" createdVersion="5" indent="0" outline="1" outlineData="1" multipleFieldFilters="0" chartFormat="14">
  <location ref="H39:I44" firstHeaderRow="1"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sd="0" x="2"/>
        <item sd="0" x="3"/>
        <item sd="0" x="4"/>
        <item sd="0" x="5"/>
        <item sd="0" x="6"/>
        <item n="6 - 10" sd="0" x="0"/>
        <item n="Above 10" sd="0" x="1"/>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4" count="1" selected="0">
            <x v="0"/>
          </reference>
        </references>
      </pivotArea>
    </chartFormat>
    <chartFormat chart="13" format="12">
      <pivotArea type="data" outline="0" fieldPosition="0">
        <references count="2">
          <reference field="4294967294" count="1" selected="0">
            <x v="0"/>
          </reference>
          <reference field="14" count="1" selected="0">
            <x v="1"/>
          </reference>
        </references>
      </pivotArea>
    </chartFormat>
    <chartFormat chart="13" format="13">
      <pivotArea type="data" outline="0" fieldPosition="0">
        <references count="2">
          <reference field="4294967294" count="1" selected="0">
            <x v="0"/>
          </reference>
          <reference field="14" count="1" selected="0">
            <x v="2"/>
          </reference>
        </references>
      </pivotArea>
    </chartFormat>
    <chartFormat chart="13"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Product" cacheId="0" applyNumberFormats="0" applyBorderFormats="0" applyFontFormats="0" applyPatternFormats="0" applyAlignmentFormats="0" applyWidthHeightFormats="1" dataCaption="Values" grandTotalCaption="Total" updatedVersion="5" minRefreshableVersion="3" useAutoFormatting="1" itemPrintTitles="1" createdVersion="5" indent="0" outline="1" outlineData="1" multipleFieldFilters="0" chartFormat="8">
  <location ref="A39:F61"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axis="axisCol" showAll="0">
      <items count="5">
        <item x="2"/>
        <item x="1"/>
        <item x="3"/>
        <item x="0"/>
        <item t="default"/>
      </items>
    </pivotField>
    <pivotField showAll="0" defaultSubtotal="0">
      <items count="7">
        <item sd="0" x="2"/>
        <item sd="0" x="3"/>
        <item sd="0" x="4"/>
        <item sd="0" x="5"/>
        <item sd="0" x="6"/>
        <item n="6 - 10" sd="0" x="0"/>
        <item n="Above 10" sd="0" x="1"/>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7" format="10" series="1">
      <pivotArea type="data" outline="0" fieldPosition="0">
        <references count="2">
          <reference field="4294967294" count="1" selected="0">
            <x v="0"/>
          </reference>
          <reference field="14" count="1" selected="0">
            <x v="2"/>
          </reference>
        </references>
      </pivotArea>
    </chartFormat>
    <chartFormat chart="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Summary"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16">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defaultSubtotal="0">
      <items count="7">
        <item x="2"/>
        <item x="3"/>
        <item x="4"/>
        <item x="5"/>
        <item x="6"/>
        <item x="0"/>
        <item x="1"/>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4" numFmtId="2"/>
    <dataField name="Average of Days to Deliver" fld="12" subtotal="average" baseField="0" baseItem="4" numFmtId="164"/>
  </dataFields>
  <formats count="3">
    <format dxfId="19">
      <pivotArea dataOnly="0" labelOnly="1" outline="0" fieldPosition="0">
        <references count="1">
          <reference field="4294967294" count="1">
            <x v="4"/>
          </reference>
        </references>
      </pivotArea>
    </format>
    <format dxfId="18">
      <pivotArea outline="0" collapsedLevelsAreSubtotals="1" fieldPosition="0">
        <references count="1">
          <reference field="4294967294" count="1" selected="0">
            <x v="4"/>
          </reference>
        </references>
      </pivotArea>
    </format>
    <format dxfId="1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rend"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9:C23"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defaultSubtotal="0">
      <items count="7">
        <item x="2"/>
        <item x="3"/>
        <item x="4"/>
        <item x="5"/>
        <item x="6"/>
        <item x="0"/>
        <item x="1"/>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County" cacheId="0" applyNumberFormats="0" applyBorderFormats="0" applyFontFormats="0" applyPatternFormats="0" applyAlignmentFormats="0" applyWidthHeightFormats="1" dataCaption="Values" grandTotalCaption="Total" updatedVersion="5" minRefreshableVersion="3" useAutoFormatting="1" rowGrandTotals="0" colGrandTotals="0" itemPrintTitles="1" createdVersion="5" indent="0" compact="0" compactData="0" multipleFieldFilters="0" chartFormat="8">
  <location ref="A64:D117"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sortType="descending"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h="1" x="1"/>
        <item h="1" x="3"/>
        <item h="1" x="0"/>
      </items>
      <extLst>
        <ext xmlns:x14="http://schemas.microsoft.com/office/spreadsheetml/2009/9/main" uri="{2946ED86-A175-432a-8AC1-64E0C546D7DE}">
          <x14:pivotField fillDownLabels="1"/>
        </ext>
      </extLst>
    </pivotField>
    <pivotField compact="0" outline="0" showAll="0" defaultSubtotal="0">
      <items count="7">
        <item sd="0" x="2"/>
        <item sd="0" x="3"/>
        <item sd="0" x="4"/>
        <item sd="0" x="5"/>
        <item sd="0" x="6"/>
        <item n="6 - 10" sd="0" x="0"/>
        <item n="Above 10" sd="0" x="1"/>
      </items>
      <extLst>
        <ext xmlns:x14="http://schemas.microsoft.com/office/spreadsheetml/2009/9/main" uri="{2946ED86-A175-432a-8AC1-64E0C546D7DE}">
          <x14:pivotField fillDownLabels="1"/>
        </ext>
      </extLst>
    </pivotField>
  </pivotFields>
  <rowFields count="2">
    <field x="10"/>
    <field x="11"/>
  </rowFields>
  <rowItems count="53">
    <i>
      <x/>
      <x v="18"/>
    </i>
    <i r="1">
      <x v="36"/>
    </i>
    <i r="1">
      <x v="42"/>
    </i>
    <i r="1">
      <x v="33"/>
    </i>
    <i r="1">
      <x/>
    </i>
    <i r="1">
      <x v="40"/>
    </i>
    <i r="1">
      <x v="48"/>
    </i>
    <i r="1">
      <x v="6"/>
    </i>
    <i r="1">
      <x v="35"/>
    </i>
    <i r="1">
      <x v="9"/>
    </i>
    <i r="1">
      <x v="32"/>
    </i>
    <i r="1">
      <x v="37"/>
    </i>
    <i r="1">
      <x v="49"/>
    </i>
    <i r="1">
      <x v="14"/>
    </i>
    <i r="1">
      <x v="55"/>
    </i>
    <i r="1">
      <x v="29"/>
    </i>
    <i r="1">
      <x v="27"/>
    </i>
    <i r="1">
      <x v="38"/>
    </i>
    <i r="1">
      <x v="11"/>
    </i>
    <i r="1">
      <x v="47"/>
    </i>
    <i r="1">
      <x v="30"/>
    </i>
    <i r="1">
      <x v="3"/>
    </i>
    <i r="1">
      <x v="53"/>
    </i>
    <i r="1">
      <x v="23"/>
    </i>
    <i r="1">
      <x v="44"/>
    </i>
    <i r="1">
      <x v="15"/>
    </i>
    <i r="1">
      <x v="12"/>
    </i>
    <i r="1">
      <x v="8"/>
    </i>
    <i r="1">
      <x v="43"/>
    </i>
    <i r="1">
      <x v="19"/>
    </i>
    <i r="1">
      <x v="54"/>
    </i>
    <i r="1">
      <x v="28"/>
    </i>
    <i r="1">
      <x v="41"/>
    </i>
    <i r="1">
      <x v="39"/>
    </i>
    <i r="1">
      <x v="20"/>
    </i>
    <i r="1">
      <x v="16"/>
    </i>
    <i r="1">
      <x v="56"/>
    </i>
    <i r="1">
      <x v="22"/>
    </i>
    <i r="1">
      <x v="34"/>
    </i>
    <i r="1">
      <x v="21"/>
    </i>
    <i r="1">
      <x v="4"/>
    </i>
    <i r="1">
      <x v="52"/>
    </i>
    <i r="1">
      <x v="46"/>
    </i>
    <i r="1">
      <x v="50"/>
    </i>
    <i r="1">
      <x v="25"/>
    </i>
    <i r="1">
      <x v="5"/>
    </i>
    <i r="1">
      <x v="57"/>
    </i>
    <i r="1">
      <x v="24"/>
    </i>
    <i r="1">
      <x v="10"/>
    </i>
    <i r="1">
      <x v="2"/>
    </i>
    <i r="1">
      <x v="45"/>
    </i>
    <i r="1">
      <x v="31"/>
    </i>
    <i r="1">
      <x v="2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6.xml><?xml version="1.0" encoding="utf-8"?>
<pivotTableDefinition xmlns="http://schemas.openxmlformats.org/spreadsheetml/2006/main" name="PivotSatisfaction" cacheId="0" applyNumberFormats="0" applyBorderFormats="0" applyFontFormats="0" applyPatternFormats="0" applyAlignmentFormats="0" applyWidthHeightFormats="1" dataCaption="Values" grandTotalCaption="Total" updatedVersion="5" minRefreshableVersion="3" useAutoFormatting="1" itemPrintTitles="1" createdVersion="5" indent="0" outline="1" outlineData="1" multipleFieldFilters="0" chartFormat="17">
  <location ref="A144:B150"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defaultSubtotal="0">
      <items count="7">
        <item sd="0" x="2"/>
        <item sd="0" x="3"/>
        <item sd="0" x="4"/>
        <item sd="0" x="5"/>
        <item sd="0" x="6"/>
        <item n="6 - 10" sd="0" x="0"/>
        <item n="Above 10" sd="0" x="1"/>
      </items>
    </pivotField>
  </pivotFields>
  <rowFields count="1">
    <field x="9"/>
  </rowFields>
  <rowItems count="6">
    <i>
      <x/>
    </i>
    <i>
      <x v="1"/>
    </i>
    <i>
      <x v="2"/>
    </i>
    <i>
      <x v="3"/>
    </i>
    <i>
      <x v="4"/>
    </i>
    <i t="grand">
      <x/>
    </i>
  </rowItems>
  <colItems count="1">
    <i/>
  </colItems>
  <dataFields count="1">
    <dataField name="Count of TX ID" fld="0" subtotal="count" baseField="0" baseItem="0"/>
  </dataField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Weeks" cacheId="0" applyNumberFormats="0" applyBorderFormats="0" applyFontFormats="0" applyPatternFormats="0" applyAlignmentFormats="0" applyWidthHeightFormats="1" dataCaption="Values" grandTotalCaption="Total" updatedVersion="5" minRefreshableVersion="3" useAutoFormatting="1" itemPrintTitles="1" createdVersion="5" indent="0" outline="1" outlineData="1" multipleFieldFilters="0" chartFormat="15">
  <location ref="A125:B14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sd="0" x="2"/>
        <item sd="0" x="3"/>
        <item sd="0" x="4"/>
        <item sd="0" x="5"/>
        <item sd="0" x="6"/>
        <item n="6 - 10" sd="0" x="0"/>
        <item n="Above 10" sd="0" x="1"/>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6">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Qty" cacheId="0" applyNumberFormats="0" applyBorderFormats="0" applyFontFormats="0" applyPatternFormats="0" applyAlignmentFormats="0" applyWidthHeightFormats="1" dataCaption="Values" grandTotalCaption="Total" updatedVersion="5" minRefreshableVersion="3" useAutoFormatting="1" itemPrintTitles="1" createdVersion="5" indent="0" outline="1" outlineData="1" multipleFieldFilters="0" chartFormat="5">
  <location ref="A27:B35"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h="1" x="1"/>
        <item h="1" x="3"/>
        <item h="1" x="0"/>
        <item t="default"/>
      </items>
    </pivotField>
    <pivotField axis="axisRow" showAll="0" defaultSubtotal="0">
      <items count="7">
        <item sd="0" x="2"/>
        <item sd="0" x="3"/>
        <item sd="0" x="4"/>
        <item sd="0" x="5"/>
        <item sd="0" x="6"/>
        <item n="6 - 10" sd="0" x="0"/>
        <item n="Above 10" sd="0" x="1"/>
      </items>
    </pivotField>
  </pivotFields>
  <rowFields count="1">
    <field x="15"/>
  </rowFields>
  <rowItems count="8">
    <i>
      <x/>
    </i>
    <i>
      <x v="1"/>
    </i>
    <i>
      <x v="2"/>
    </i>
    <i>
      <x v="3"/>
    </i>
    <i>
      <x v="4"/>
    </i>
    <i>
      <x v="5"/>
    </i>
    <i>
      <x v="6"/>
    </i>
    <i t="grand">
      <x/>
    </i>
  </rowItems>
  <colItems count="1">
    <i/>
  </colItems>
  <dataFields count="1">
    <dataField name="Count of TX ID" fld="0" subtotal="count"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2"/>
        <item x="3"/>
        <item x="4"/>
        <item x="5"/>
        <item x="6"/>
        <item x="0"/>
        <item x="1"/>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5" name="PivotSatisfaction"/>
    <pivotTable tabId="5" name="PivotCounty"/>
    <pivotTable tabId="5" name="PivotQty"/>
    <pivotTable tabId="5" name="PivotSummary"/>
    <pivotTable tabId="5" name="PivotTrend"/>
    <pivotTable tabId="5" name="PivotWeeks"/>
  </pivotTables>
  <data>
    <tabular pivotCacheId="1">
      <items count="4">
        <i x="2" s="1"/>
        <i x="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5" name="PivotSatisfaction"/>
    <pivotTable tabId="5" name="PivotCounty"/>
    <pivotTable tabId="5" name="PivotQty"/>
    <pivotTable tabId="5" name="PivotTrend"/>
    <pivotTable tabId="5" name="PivotWeeks"/>
    <pivotTable tabId="5" name="PivotSummary"/>
  </pivotTables>
  <data>
    <tabular pivotCacheId="1">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Value" cache="Slicer_Gender_Value" caption="Gender Value" rowHeight="230716"/>
  <slicer name="Order Mode" cache="Slicer_Order_Mode" caption="Order Mode" rowHeight="230716"/>
</slicers>
</file>

<file path=xl/tables/table1.xml><?xml version="1.0" encoding="utf-8"?>
<table xmlns="http://schemas.openxmlformats.org/spreadsheetml/2006/main" id="1" name="orders" displayName="orders" ref="A1:O2401" totalsRowShown="0">
  <tableColumns count="15">
    <tableColumn id="1" name="TX ID"/>
    <tableColumn id="2" name="Product"/>
    <tableColumn id="3" name="Quantity"/>
    <tableColumn id="4" name="Unit Price"/>
    <tableColumn id="5" name="Amount"/>
    <tableColumn id="6" name="Order Date" dataDxfId="16"/>
    <tableColumn id="7" name="Ship Date" dataDxfId="15"/>
    <tableColumn id="8" name="Customer Gender"/>
    <tableColumn id="9" name="Order Mode"/>
    <tableColumn id="10" name="Rating C"/>
    <tableColumn id="15" name="State"/>
    <tableColumn id="14" name="County"/>
    <tableColumn id="11" name="Days to Deliver" dataDxfId="14">
      <calculatedColumnFormula>orders[[#This Row],[Ship Date]]-orders[[#This Row],[Order Date]]</calculatedColumnFormula>
    </tableColumn>
    <tableColumn id="12" name="Weeknum" dataDxfId="13">
      <calculatedColumnFormula>WEEKNUM(orders[[#This Row],[Order Date]])</calculatedColumnFormula>
    </tableColumn>
    <tableColumn id="13" name="Gender Value" dataDxfId="1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50"/>
  <sheetViews>
    <sheetView topLeftCell="A118" zoomScale="80" zoomScaleNormal="80" workbookViewId="0">
      <selection activeCell="M142" sqref="M142"/>
    </sheetView>
  </sheetViews>
  <sheetFormatPr defaultRowHeight="14" x14ac:dyDescent="0.35"/>
  <cols>
    <col min="1" max="1" width="13.36328125" customWidth="1"/>
    <col min="2" max="2" width="13.54296875" customWidth="1"/>
    <col min="3" max="3" width="14.7265625" customWidth="1"/>
    <col min="4" max="4" width="18.08984375" customWidth="1"/>
    <col min="5" max="5" width="23.81640625" customWidth="1"/>
    <col min="6" max="6" width="6.26953125" customWidth="1"/>
    <col min="7" max="7" width="8.54296875" customWidth="1"/>
    <col min="8" max="8" width="14.26953125" customWidth="1"/>
    <col min="9" max="9" width="15.81640625" customWidth="1"/>
    <col min="10" max="10" width="8.54296875" customWidth="1"/>
    <col min="11" max="14" width="9.6328125" customWidth="1"/>
    <col min="15" max="32" width="10.453125" customWidth="1"/>
    <col min="33" max="41" width="9.54296875" customWidth="1"/>
    <col min="42" max="60" width="10.6328125" customWidth="1"/>
    <col min="61" max="69" width="9.453125" customWidth="1"/>
    <col min="70" max="89" width="10.54296875" customWidth="1"/>
    <col min="90" max="90" width="5.90625" customWidth="1"/>
    <col min="91" max="2400" width="18.81640625" bestFit="1" customWidth="1"/>
    <col min="2401" max="2401" width="5.90625" customWidth="1"/>
  </cols>
  <sheetData>
    <row r="2" spans="1:11" ht="14.5" x14ac:dyDescent="0.35">
      <c r="G2" t="s">
        <v>2553</v>
      </c>
    </row>
    <row r="3" spans="1:11" ht="14.5" x14ac:dyDescent="0.35">
      <c r="A3" t="s">
        <v>2550</v>
      </c>
      <c r="B3" t="s">
        <v>2548</v>
      </c>
      <c r="C3" t="s">
        <v>2549</v>
      </c>
      <c r="D3" t="s">
        <v>2551</v>
      </c>
      <c r="E3" s="13" t="s">
        <v>2552</v>
      </c>
      <c r="G3" t="s">
        <v>2538</v>
      </c>
      <c r="H3" t="s">
        <v>2</v>
      </c>
      <c r="I3" t="s">
        <v>4</v>
      </c>
      <c r="J3" t="s">
        <v>2507</v>
      </c>
      <c r="K3" t="s">
        <v>2554</v>
      </c>
    </row>
    <row r="4" spans="1:11" ht="14.5" x14ac:dyDescent="0.35">
      <c r="A4" s="12">
        <v>1231</v>
      </c>
      <c r="B4" s="12">
        <v>6272</v>
      </c>
      <c r="C4" s="12">
        <v>340707.60000000033</v>
      </c>
      <c r="D4" s="13">
        <v>3.9553208773354998</v>
      </c>
      <c r="E4" s="14">
        <v>2.420796100731113</v>
      </c>
      <c r="G4" t="str">
        <f>TEXT(A4, "#,##")</f>
        <v>1,231</v>
      </c>
      <c r="H4" t="str">
        <f t="shared" ref="H4" si="0">TEXT(B4, "#,##")</f>
        <v>6,272</v>
      </c>
      <c r="I4" t="str">
        <f>TEXT(C4, "$#,##,.0K")</f>
        <v>$340.7K</v>
      </c>
      <c r="J4" t="str">
        <f>TEXT(D4, "0.0")</f>
        <v>4.0</v>
      </c>
      <c r="K4" t="str">
        <f>TEXT(E4, "0.0")</f>
        <v>2.4</v>
      </c>
    </row>
    <row r="5" spans="1:11" ht="14.5" x14ac:dyDescent="0.35">
      <c r="E5" s="14"/>
    </row>
    <row r="9" spans="1:11" ht="14.5" x14ac:dyDescent="0.35">
      <c r="A9" s="15" t="s">
        <v>2559</v>
      </c>
      <c r="B9" t="s">
        <v>2548</v>
      </c>
      <c r="C9" t="s">
        <v>2549</v>
      </c>
    </row>
    <row r="10" spans="1:11" ht="14.5" x14ac:dyDescent="0.35">
      <c r="A10" s="16">
        <v>1</v>
      </c>
      <c r="B10" s="12">
        <v>255</v>
      </c>
      <c r="C10" s="17">
        <v>14348.100000000004</v>
      </c>
    </row>
    <row r="11" spans="1:11" ht="14.5" x14ac:dyDescent="0.35">
      <c r="A11" s="16">
        <v>2</v>
      </c>
      <c r="B11" s="12">
        <v>579</v>
      </c>
      <c r="C11" s="17">
        <v>34600.700000000004</v>
      </c>
    </row>
    <row r="12" spans="1:11" ht="14.5" x14ac:dyDescent="0.35">
      <c r="A12" s="16">
        <v>3</v>
      </c>
      <c r="B12" s="12">
        <v>418</v>
      </c>
      <c r="C12" s="17">
        <v>23116.600000000006</v>
      </c>
    </row>
    <row r="13" spans="1:11" ht="14.5" x14ac:dyDescent="0.35">
      <c r="A13" s="16">
        <v>4</v>
      </c>
      <c r="B13" s="12">
        <v>519</v>
      </c>
      <c r="C13" s="17">
        <v>28395.600000000002</v>
      </c>
    </row>
    <row r="14" spans="1:11" ht="14.5" x14ac:dyDescent="0.35">
      <c r="A14" s="16">
        <v>5</v>
      </c>
      <c r="B14" s="12">
        <v>554</v>
      </c>
      <c r="C14" s="17">
        <v>27762.900000000009</v>
      </c>
    </row>
    <row r="15" spans="1:11" ht="14.5" x14ac:dyDescent="0.35">
      <c r="A15" s="16">
        <v>6</v>
      </c>
      <c r="B15" s="12">
        <v>752</v>
      </c>
      <c r="C15" s="17">
        <v>39327.399999999987</v>
      </c>
    </row>
    <row r="16" spans="1:11" ht="14.5" x14ac:dyDescent="0.35">
      <c r="A16" s="16">
        <v>7</v>
      </c>
      <c r="B16" s="12">
        <v>524</v>
      </c>
      <c r="C16" s="17">
        <v>26745.500000000007</v>
      </c>
    </row>
    <row r="17" spans="1:3" ht="14.5" x14ac:dyDescent="0.35">
      <c r="A17" s="16">
        <v>8</v>
      </c>
      <c r="B17" s="12">
        <v>476</v>
      </c>
      <c r="C17" s="17">
        <v>26192.3</v>
      </c>
    </row>
    <row r="18" spans="1:3" ht="14.5" x14ac:dyDescent="0.35">
      <c r="A18" s="16">
        <v>9</v>
      </c>
      <c r="B18" s="12">
        <v>447</v>
      </c>
      <c r="C18" s="17">
        <v>22350.1</v>
      </c>
    </row>
    <row r="19" spans="1:3" ht="14.5" x14ac:dyDescent="0.35">
      <c r="A19" s="16">
        <v>10</v>
      </c>
      <c r="B19" s="12">
        <v>512</v>
      </c>
      <c r="C19" s="17">
        <v>29112.5</v>
      </c>
    </row>
    <row r="20" spans="1:3" ht="14.5" x14ac:dyDescent="0.35">
      <c r="A20" s="16">
        <v>11</v>
      </c>
      <c r="B20" s="12">
        <v>408</v>
      </c>
      <c r="C20" s="17">
        <v>22844.400000000016</v>
      </c>
    </row>
    <row r="21" spans="1:3" ht="14.5" x14ac:dyDescent="0.35">
      <c r="A21" s="16">
        <v>12</v>
      </c>
      <c r="B21" s="12">
        <v>438</v>
      </c>
      <c r="C21" s="17">
        <v>24050.999999999989</v>
      </c>
    </row>
    <row r="22" spans="1:3" ht="14.5" x14ac:dyDescent="0.35">
      <c r="A22" s="16">
        <v>13</v>
      </c>
      <c r="B22" s="12">
        <v>390</v>
      </c>
      <c r="C22" s="17">
        <v>21860.499999999996</v>
      </c>
    </row>
    <row r="23" spans="1:3" ht="14.5" x14ac:dyDescent="0.35">
      <c r="A23" s="16" t="s">
        <v>2560</v>
      </c>
      <c r="B23" s="12">
        <v>6272</v>
      </c>
      <c r="C23" s="17">
        <v>340707.60000000003</v>
      </c>
    </row>
    <row r="27" spans="1:3" ht="14.5" x14ac:dyDescent="0.35">
      <c r="A27" s="15" t="s">
        <v>2559</v>
      </c>
      <c r="B27" t="s">
        <v>2550</v>
      </c>
    </row>
    <row r="28" spans="1:3" ht="14.5" x14ac:dyDescent="0.35">
      <c r="A28" s="16" t="s">
        <v>2563</v>
      </c>
      <c r="B28" s="12">
        <v>199</v>
      </c>
    </row>
    <row r="29" spans="1:3" ht="14.5" x14ac:dyDescent="0.35">
      <c r="A29" s="16" t="s">
        <v>2564</v>
      </c>
      <c r="B29" s="12">
        <v>260</v>
      </c>
    </row>
    <row r="30" spans="1:3" ht="14.5" x14ac:dyDescent="0.35">
      <c r="A30" s="16" t="s">
        <v>2565</v>
      </c>
      <c r="B30" s="12">
        <v>196</v>
      </c>
    </row>
    <row r="31" spans="1:3" ht="14.5" x14ac:dyDescent="0.35">
      <c r="A31" s="16" t="s">
        <v>2566</v>
      </c>
      <c r="B31" s="12">
        <v>124</v>
      </c>
    </row>
    <row r="32" spans="1:3" ht="14.5" x14ac:dyDescent="0.35">
      <c r="A32" s="16" t="s">
        <v>2567</v>
      </c>
      <c r="B32" s="12">
        <v>100</v>
      </c>
    </row>
    <row r="33" spans="1:9" ht="14.5" x14ac:dyDescent="0.35">
      <c r="A33" s="16" t="s">
        <v>2568</v>
      </c>
      <c r="B33" s="12">
        <v>231</v>
      </c>
    </row>
    <row r="34" spans="1:9" ht="14.5" x14ac:dyDescent="0.35">
      <c r="A34" s="16" t="s">
        <v>2569</v>
      </c>
      <c r="B34" s="12">
        <v>121</v>
      </c>
    </row>
    <row r="35" spans="1:9" ht="14.5" x14ac:dyDescent="0.35">
      <c r="A35" s="16" t="s">
        <v>2570</v>
      </c>
      <c r="B35" s="12">
        <v>1231</v>
      </c>
    </row>
    <row r="39" spans="1:9" ht="14.5" x14ac:dyDescent="0.35">
      <c r="A39" s="15" t="s">
        <v>2548</v>
      </c>
      <c r="B39" s="15" t="s">
        <v>2561</v>
      </c>
      <c r="H39" s="15" t="s">
        <v>2559</v>
      </c>
      <c r="I39" t="s">
        <v>2548</v>
      </c>
    </row>
    <row r="40" spans="1:9" ht="14.5" x14ac:dyDescent="0.35">
      <c r="A40" s="15" t="s">
        <v>2559</v>
      </c>
      <c r="B40" t="s">
        <v>2557</v>
      </c>
      <c r="C40" t="s">
        <v>2556</v>
      </c>
      <c r="D40" t="s">
        <v>2558</v>
      </c>
      <c r="E40" t="s">
        <v>2555</v>
      </c>
      <c r="F40" t="s">
        <v>2570</v>
      </c>
      <c r="H40" s="16" t="s">
        <v>2557</v>
      </c>
      <c r="I40" s="12">
        <v>6272</v>
      </c>
    </row>
    <row r="41" spans="1:9" ht="14.5" x14ac:dyDescent="0.35">
      <c r="A41" s="16" t="s">
        <v>44</v>
      </c>
      <c r="B41" s="12">
        <v>744</v>
      </c>
      <c r="C41" s="12">
        <v>713</v>
      </c>
      <c r="D41" s="12">
        <v>90</v>
      </c>
      <c r="E41" s="12">
        <v>98</v>
      </c>
      <c r="F41" s="12">
        <v>1645</v>
      </c>
      <c r="H41" s="16" t="s">
        <v>2556</v>
      </c>
      <c r="I41" s="12">
        <v>4672</v>
      </c>
    </row>
    <row r="42" spans="1:9" ht="14.5" x14ac:dyDescent="0.35">
      <c r="A42" s="16" t="s">
        <v>39</v>
      </c>
      <c r="B42" s="12">
        <v>716</v>
      </c>
      <c r="C42" s="12">
        <v>598</v>
      </c>
      <c r="D42" s="12">
        <v>18</v>
      </c>
      <c r="E42" s="12">
        <v>214</v>
      </c>
      <c r="F42" s="12">
        <v>1546</v>
      </c>
      <c r="H42" s="16" t="s">
        <v>2558</v>
      </c>
      <c r="I42" s="12">
        <v>317</v>
      </c>
    </row>
    <row r="43" spans="1:9" ht="14.5" x14ac:dyDescent="0.35">
      <c r="A43" s="16" t="s">
        <v>26</v>
      </c>
      <c r="B43" s="12">
        <v>627</v>
      </c>
      <c r="C43" s="12">
        <v>393</v>
      </c>
      <c r="D43" s="12">
        <v>29</v>
      </c>
      <c r="E43" s="12">
        <v>137</v>
      </c>
      <c r="F43" s="12">
        <v>1186</v>
      </c>
      <c r="H43" s="16" t="s">
        <v>2555</v>
      </c>
      <c r="I43" s="12">
        <v>736</v>
      </c>
    </row>
    <row r="44" spans="1:9" ht="14.5" x14ac:dyDescent="0.35">
      <c r="A44" s="16" t="s">
        <v>22</v>
      </c>
      <c r="B44" s="12">
        <v>568</v>
      </c>
      <c r="C44" s="12">
        <v>306</v>
      </c>
      <c r="D44" s="12">
        <v>22</v>
      </c>
      <c r="E44" s="12">
        <v>16</v>
      </c>
      <c r="F44" s="12">
        <v>912</v>
      </c>
      <c r="H44" s="16" t="s">
        <v>2570</v>
      </c>
      <c r="I44" s="12">
        <v>11997</v>
      </c>
    </row>
    <row r="45" spans="1:9" ht="14.5" x14ac:dyDescent="0.35">
      <c r="A45" s="16" t="s">
        <v>54</v>
      </c>
      <c r="B45" s="12">
        <v>482</v>
      </c>
      <c r="C45" s="12">
        <v>295</v>
      </c>
      <c r="D45" s="12">
        <v>8</v>
      </c>
      <c r="E45" s="12">
        <v>22</v>
      </c>
      <c r="F45" s="12">
        <v>807</v>
      </c>
    </row>
    <row r="46" spans="1:9" ht="14.5" x14ac:dyDescent="0.35">
      <c r="A46" s="16" t="s">
        <v>16</v>
      </c>
      <c r="B46" s="12">
        <v>428</v>
      </c>
      <c r="C46" s="12">
        <v>293</v>
      </c>
      <c r="D46" s="12"/>
      <c r="E46" s="12">
        <v>24</v>
      </c>
      <c r="F46" s="12">
        <v>745</v>
      </c>
    </row>
    <row r="47" spans="1:9" ht="14.5" x14ac:dyDescent="0.35">
      <c r="A47" s="16" t="s">
        <v>46</v>
      </c>
      <c r="B47" s="12">
        <v>445</v>
      </c>
      <c r="C47" s="12">
        <v>202</v>
      </c>
      <c r="D47" s="12">
        <v>14</v>
      </c>
      <c r="E47" s="12">
        <v>39</v>
      </c>
      <c r="F47" s="12">
        <v>700</v>
      </c>
    </row>
    <row r="48" spans="1:9" ht="14.5" x14ac:dyDescent="0.35">
      <c r="A48" s="16" t="s">
        <v>32</v>
      </c>
      <c r="B48" s="12">
        <v>431</v>
      </c>
      <c r="C48" s="12">
        <v>187</v>
      </c>
      <c r="D48" s="12">
        <v>14</v>
      </c>
      <c r="E48" s="12">
        <v>15</v>
      </c>
      <c r="F48" s="12">
        <v>647</v>
      </c>
    </row>
    <row r="49" spans="1:13" ht="14.5" x14ac:dyDescent="0.35">
      <c r="A49" s="16" t="s">
        <v>42</v>
      </c>
      <c r="B49" s="12">
        <v>264</v>
      </c>
      <c r="C49" s="12">
        <v>318</v>
      </c>
      <c r="D49" s="12">
        <v>15</v>
      </c>
      <c r="E49" s="12">
        <v>9</v>
      </c>
      <c r="F49" s="12">
        <v>606</v>
      </c>
    </row>
    <row r="50" spans="1:13" ht="14.5" x14ac:dyDescent="0.35">
      <c r="A50" s="16" t="s">
        <v>37</v>
      </c>
      <c r="B50" s="12">
        <v>296</v>
      </c>
      <c r="C50" s="12">
        <v>275</v>
      </c>
      <c r="D50" s="12">
        <v>9</v>
      </c>
      <c r="E50" s="12">
        <v>23</v>
      </c>
      <c r="F50" s="12">
        <v>603</v>
      </c>
    </row>
    <row r="51" spans="1:13" ht="14.5" x14ac:dyDescent="0.35">
      <c r="A51" s="16" t="s">
        <v>123</v>
      </c>
      <c r="B51" s="12">
        <v>153</v>
      </c>
      <c r="C51" s="12">
        <v>246</v>
      </c>
      <c r="D51" s="12">
        <v>30</v>
      </c>
      <c r="E51" s="12">
        <v>8</v>
      </c>
      <c r="F51" s="12">
        <v>437</v>
      </c>
    </row>
    <row r="52" spans="1:13" ht="14.5" x14ac:dyDescent="0.35">
      <c r="A52" s="16" t="s">
        <v>146</v>
      </c>
      <c r="B52" s="12">
        <v>189</v>
      </c>
      <c r="C52" s="12">
        <v>168</v>
      </c>
      <c r="D52" s="12">
        <v>10</v>
      </c>
      <c r="E52" s="12">
        <v>31</v>
      </c>
      <c r="F52" s="12">
        <v>398</v>
      </c>
    </row>
    <row r="53" spans="1:13" ht="14.5" x14ac:dyDescent="0.35">
      <c r="A53" s="16" t="s">
        <v>69</v>
      </c>
      <c r="B53" s="12">
        <v>234</v>
      </c>
      <c r="C53" s="12">
        <v>93</v>
      </c>
      <c r="D53" s="12">
        <v>19</v>
      </c>
      <c r="E53" s="12">
        <v>24</v>
      </c>
      <c r="F53" s="12">
        <v>370</v>
      </c>
    </row>
    <row r="54" spans="1:13" ht="14.5" x14ac:dyDescent="0.35">
      <c r="A54" s="16" t="s">
        <v>30</v>
      </c>
      <c r="B54" s="12">
        <v>146</v>
      </c>
      <c r="C54" s="12">
        <v>94</v>
      </c>
      <c r="D54" s="12">
        <v>4</v>
      </c>
      <c r="E54" s="12">
        <v>28</v>
      </c>
      <c r="F54" s="12">
        <v>272</v>
      </c>
    </row>
    <row r="55" spans="1:13" ht="14.5" x14ac:dyDescent="0.35">
      <c r="A55" s="16" t="s">
        <v>135</v>
      </c>
      <c r="B55" s="12">
        <v>127</v>
      </c>
      <c r="C55" s="12">
        <v>118</v>
      </c>
      <c r="D55" s="12">
        <v>13</v>
      </c>
      <c r="E55" s="12">
        <v>12</v>
      </c>
      <c r="F55" s="12">
        <v>270</v>
      </c>
    </row>
    <row r="56" spans="1:13" ht="14.5" x14ac:dyDescent="0.35">
      <c r="A56" s="16" t="s">
        <v>67</v>
      </c>
      <c r="B56" s="12">
        <v>179</v>
      </c>
      <c r="C56" s="12">
        <v>76</v>
      </c>
      <c r="D56" s="12">
        <v>3</v>
      </c>
      <c r="E56" s="12"/>
      <c r="F56" s="12">
        <v>258</v>
      </c>
    </row>
    <row r="57" spans="1:13" ht="14.5" x14ac:dyDescent="0.35">
      <c r="A57" s="16" t="s">
        <v>128</v>
      </c>
      <c r="B57" s="12">
        <v>99</v>
      </c>
      <c r="C57" s="12">
        <v>69</v>
      </c>
      <c r="D57" s="12">
        <v>3</v>
      </c>
      <c r="E57" s="12">
        <v>24</v>
      </c>
      <c r="F57" s="12">
        <v>195</v>
      </c>
    </row>
    <row r="58" spans="1:13" ht="14.5" x14ac:dyDescent="0.35">
      <c r="A58" s="16" t="s">
        <v>76</v>
      </c>
      <c r="B58" s="12">
        <v>75</v>
      </c>
      <c r="C58" s="12">
        <v>103</v>
      </c>
      <c r="D58" s="12">
        <v>4</v>
      </c>
      <c r="E58" s="12">
        <v>6</v>
      </c>
      <c r="F58" s="12">
        <v>188</v>
      </c>
    </row>
    <row r="59" spans="1:13" ht="14.5" x14ac:dyDescent="0.35">
      <c r="A59" s="16" t="s">
        <v>81</v>
      </c>
      <c r="B59" s="12">
        <v>43</v>
      </c>
      <c r="C59" s="12">
        <v>90</v>
      </c>
      <c r="D59" s="12">
        <v>8</v>
      </c>
      <c r="E59" s="12">
        <v>6</v>
      </c>
      <c r="F59" s="12">
        <v>147</v>
      </c>
    </row>
    <row r="60" spans="1:13" ht="14.5" x14ac:dyDescent="0.35">
      <c r="A60" s="16" t="s">
        <v>171</v>
      </c>
      <c r="B60" s="12">
        <v>26</v>
      </c>
      <c r="C60" s="12">
        <v>35</v>
      </c>
      <c r="D60" s="12">
        <v>4</v>
      </c>
      <c r="E60" s="12"/>
      <c r="F60" s="12">
        <v>65</v>
      </c>
      <c r="H60" t="e">
        <f>G</f>
        <v>#NAME?</v>
      </c>
    </row>
    <row r="61" spans="1:13" ht="14.5" x14ac:dyDescent="0.35">
      <c r="A61" s="16" t="s">
        <v>2570</v>
      </c>
      <c r="B61" s="12">
        <v>6272</v>
      </c>
      <c r="C61" s="12">
        <v>4672</v>
      </c>
      <c r="D61" s="12">
        <v>317</v>
      </c>
      <c r="E61" s="12">
        <v>736</v>
      </c>
      <c r="F61" s="12">
        <v>11997</v>
      </c>
    </row>
    <row r="63" spans="1:13" ht="14.5" x14ac:dyDescent="0.35">
      <c r="G63" t="s">
        <v>2571</v>
      </c>
      <c r="K63" t="s">
        <v>2572</v>
      </c>
    </row>
    <row r="64" spans="1:13" ht="14.5" x14ac:dyDescent="0.35">
      <c r="A64" s="15" t="s">
        <v>10</v>
      </c>
      <c r="B64" s="15" t="s">
        <v>11</v>
      </c>
      <c r="C64" t="s">
        <v>2548</v>
      </c>
      <c r="D64" t="s">
        <v>2549</v>
      </c>
      <c r="G64" t="str">
        <f>A64</f>
        <v>State</v>
      </c>
      <c r="H64" t="str">
        <f t="shared" ref="H64:I69" si="1">B64</f>
        <v>County</v>
      </c>
      <c r="I64" t="str">
        <f t="shared" si="1"/>
        <v>Sum of Quantity</v>
      </c>
      <c r="K64" t="str">
        <f>A64</f>
        <v>State</v>
      </c>
      <c r="L64" t="str">
        <f>B64</f>
        <v>County</v>
      </c>
      <c r="M64" t="str">
        <f t="shared" ref="M64:M69" si="2">D64</f>
        <v>Sum of Amount</v>
      </c>
    </row>
    <row r="65" spans="1:13" ht="14.5" x14ac:dyDescent="0.35">
      <c r="A65" t="s">
        <v>19</v>
      </c>
      <c r="B65" t="s">
        <v>33</v>
      </c>
      <c r="C65" s="12">
        <v>2076</v>
      </c>
      <c r="D65" s="12">
        <v>113664.09999999996</v>
      </c>
      <c r="G65" t="str">
        <f>A65</f>
        <v>California</v>
      </c>
      <c r="H65" t="str">
        <f t="shared" si="1"/>
        <v>Los Angeles County</v>
      </c>
      <c r="I65">
        <f t="shared" ref="I65:I69" si="3">C65</f>
        <v>2076</v>
      </c>
      <c r="K65" t="str">
        <f>A65</f>
        <v>California</v>
      </c>
      <c r="L65" t="str">
        <f>B65</f>
        <v>Los Angeles County</v>
      </c>
      <c r="M65">
        <f t="shared" si="2"/>
        <v>113664.09999999996</v>
      </c>
    </row>
    <row r="66" spans="1:13" ht="14.5" x14ac:dyDescent="0.35">
      <c r="A66" t="s">
        <v>19</v>
      </c>
      <c r="B66" t="s">
        <v>62</v>
      </c>
      <c r="C66" s="12">
        <v>899</v>
      </c>
      <c r="D66" s="12">
        <v>48721.200000000033</v>
      </c>
      <c r="G66" t="str">
        <f t="shared" ref="G66:G69" si="4">A66</f>
        <v>California</v>
      </c>
      <c r="H66" t="str">
        <f t="shared" si="1"/>
        <v>San Diego County</v>
      </c>
      <c r="I66">
        <f t="shared" si="3"/>
        <v>899</v>
      </c>
      <c r="K66" t="str">
        <f t="shared" ref="K66:L69" si="5">A66</f>
        <v>California</v>
      </c>
      <c r="L66" t="str">
        <f t="shared" si="5"/>
        <v>San Diego County</v>
      </c>
      <c r="M66">
        <f t="shared" si="2"/>
        <v>48721.200000000033</v>
      </c>
    </row>
    <row r="67" spans="1:13" ht="14.5" x14ac:dyDescent="0.35">
      <c r="A67" t="s">
        <v>19</v>
      </c>
      <c r="B67" t="s">
        <v>77</v>
      </c>
      <c r="C67" s="12">
        <v>393</v>
      </c>
      <c r="D67" s="12">
        <v>19495.600000000002</v>
      </c>
      <c r="G67" t="str">
        <f t="shared" si="4"/>
        <v>California</v>
      </c>
      <c r="H67" t="str">
        <f t="shared" si="1"/>
        <v>Santa Clara County</v>
      </c>
      <c r="I67">
        <f t="shared" si="3"/>
        <v>393</v>
      </c>
      <c r="K67" t="str">
        <f t="shared" si="5"/>
        <v>California</v>
      </c>
      <c r="L67" t="str">
        <f t="shared" si="5"/>
        <v>Santa Clara County</v>
      </c>
      <c r="M67">
        <f t="shared" si="2"/>
        <v>19495.600000000002</v>
      </c>
    </row>
    <row r="68" spans="1:13" ht="14.5" x14ac:dyDescent="0.35">
      <c r="A68" t="s">
        <v>19</v>
      </c>
      <c r="B68" t="s">
        <v>55</v>
      </c>
      <c r="C68" s="12">
        <v>347</v>
      </c>
      <c r="D68" s="12">
        <v>19303.900000000001</v>
      </c>
      <c r="G68" t="str">
        <f t="shared" si="4"/>
        <v>California</v>
      </c>
      <c r="H68" t="str">
        <f t="shared" si="1"/>
        <v>Sacramento County</v>
      </c>
      <c r="I68">
        <f t="shared" si="3"/>
        <v>347</v>
      </c>
      <c r="K68" t="str">
        <f t="shared" si="5"/>
        <v>California</v>
      </c>
      <c r="L68" t="str">
        <f t="shared" si="5"/>
        <v>Sacramento County</v>
      </c>
      <c r="M68">
        <f t="shared" si="2"/>
        <v>19303.900000000001</v>
      </c>
    </row>
    <row r="69" spans="1:13" ht="14.5" x14ac:dyDescent="0.35">
      <c r="A69" t="s">
        <v>19</v>
      </c>
      <c r="B69" t="s">
        <v>115</v>
      </c>
      <c r="C69" s="12">
        <v>331</v>
      </c>
      <c r="D69" s="12">
        <v>16875.7</v>
      </c>
      <c r="G69" t="str">
        <f t="shared" si="4"/>
        <v>California</v>
      </c>
      <c r="H69" t="str">
        <f t="shared" si="1"/>
        <v>Alameda County</v>
      </c>
      <c r="I69">
        <f t="shared" si="3"/>
        <v>331</v>
      </c>
      <c r="K69" t="str">
        <f t="shared" si="5"/>
        <v>California</v>
      </c>
      <c r="L69" t="str">
        <f t="shared" si="5"/>
        <v>Alameda County</v>
      </c>
      <c r="M69">
        <f t="shared" si="2"/>
        <v>16875.7</v>
      </c>
    </row>
    <row r="70" spans="1:13" ht="14.5" x14ac:dyDescent="0.35">
      <c r="A70" t="s">
        <v>19</v>
      </c>
      <c r="B70" t="s">
        <v>72</v>
      </c>
      <c r="C70" s="12">
        <v>237</v>
      </c>
      <c r="D70" s="12">
        <v>9740.9000000000015</v>
      </c>
    </row>
    <row r="71" spans="1:13" ht="14.5" x14ac:dyDescent="0.35">
      <c r="A71" t="s">
        <v>19</v>
      </c>
      <c r="B71" t="s">
        <v>108</v>
      </c>
      <c r="C71" s="12">
        <v>181</v>
      </c>
      <c r="D71" s="12">
        <v>13693.1</v>
      </c>
    </row>
    <row r="72" spans="1:13" ht="14.5" x14ac:dyDescent="0.35">
      <c r="A72" t="s">
        <v>19</v>
      </c>
      <c r="B72" t="s">
        <v>24</v>
      </c>
      <c r="C72" s="12">
        <v>180</v>
      </c>
      <c r="D72" s="12">
        <v>8613.9</v>
      </c>
    </row>
    <row r="73" spans="1:13" ht="14.5" x14ac:dyDescent="0.35">
      <c r="A73" t="s">
        <v>19</v>
      </c>
      <c r="B73" t="s">
        <v>59</v>
      </c>
      <c r="C73" s="12">
        <v>175</v>
      </c>
      <c r="D73" s="12">
        <v>9711.6000000000022</v>
      </c>
    </row>
    <row r="74" spans="1:13" ht="14.5" x14ac:dyDescent="0.35">
      <c r="A74" t="s">
        <v>19</v>
      </c>
      <c r="B74" t="s">
        <v>28</v>
      </c>
      <c r="C74" s="12">
        <v>174</v>
      </c>
      <c r="D74" s="12">
        <v>8933.0000000000018</v>
      </c>
    </row>
    <row r="75" spans="1:13" ht="14.5" x14ac:dyDescent="0.35">
      <c r="A75" t="s">
        <v>19</v>
      </c>
      <c r="B75" t="s">
        <v>158</v>
      </c>
      <c r="C75" s="12">
        <v>150</v>
      </c>
      <c r="D75" s="12">
        <v>6422.8</v>
      </c>
    </row>
    <row r="76" spans="1:13" ht="14.5" x14ac:dyDescent="0.35">
      <c r="A76" t="s">
        <v>19</v>
      </c>
      <c r="B76" t="s">
        <v>103</v>
      </c>
      <c r="C76" s="12">
        <v>128</v>
      </c>
      <c r="D76" s="12">
        <v>8000.7999999999975</v>
      </c>
    </row>
    <row r="77" spans="1:13" ht="14.5" x14ac:dyDescent="0.35">
      <c r="A77" t="s">
        <v>19</v>
      </c>
      <c r="B77" t="s">
        <v>110</v>
      </c>
      <c r="C77" s="12">
        <v>122</v>
      </c>
      <c r="D77" s="12">
        <v>6368.3</v>
      </c>
    </row>
    <row r="78" spans="1:13" ht="14.5" x14ac:dyDescent="0.35">
      <c r="A78" t="s">
        <v>19</v>
      </c>
      <c r="B78" t="s">
        <v>147</v>
      </c>
      <c r="C78" s="12">
        <v>112</v>
      </c>
      <c r="D78" s="12">
        <v>5912.9999999999991</v>
      </c>
    </row>
    <row r="79" spans="1:13" ht="14.5" x14ac:dyDescent="0.35">
      <c r="A79" t="s">
        <v>19</v>
      </c>
      <c r="B79" t="s">
        <v>82</v>
      </c>
      <c r="C79" s="12">
        <v>110</v>
      </c>
      <c r="D79" s="12">
        <v>6522.7000000000007</v>
      </c>
    </row>
    <row r="80" spans="1:13" ht="14.5" x14ac:dyDescent="0.35">
      <c r="A80" t="s">
        <v>19</v>
      </c>
      <c r="B80" t="s">
        <v>188</v>
      </c>
      <c r="C80" s="12">
        <v>64</v>
      </c>
      <c r="D80" s="12">
        <v>3520.6999999999994</v>
      </c>
    </row>
    <row r="81" spans="1:4" ht="14.5" x14ac:dyDescent="0.35">
      <c r="A81" t="s">
        <v>19</v>
      </c>
      <c r="B81" t="s">
        <v>98</v>
      </c>
      <c r="C81" s="12">
        <v>62</v>
      </c>
      <c r="D81" s="12">
        <v>5083.8999999999996</v>
      </c>
    </row>
    <row r="82" spans="1:4" ht="14.5" x14ac:dyDescent="0.35">
      <c r="A82" t="s">
        <v>19</v>
      </c>
      <c r="B82" t="s">
        <v>201</v>
      </c>
      <c r="C82" s="12">
        <v>51</v>
      </c>
      <c r="D82" s="12">
        <v>3165.3</v>
      </c>
    </row>
    <row r="83" spans="1:4" ht="14.5" x14ac:dyDescent="0.35">
      <c r="A83" t="s">
        <v>19</v>
      </c>
      <c r="B83" t="s">
        <v>587</v>
      </c>
      <c r="C83" s="12">
        <v>34</v>
      </c>
      <c r="D83" s="12">
        <v>1453.8</v>
      </c>
    </row>
    <row r="84" spans="1:4" ht="14.5" x14ac:dyDescent="0.35">
      <c r="A84" t="s">
        <v>19</v>
      </c>
      <c r="B84" t="s">
        <v>377</v>
      </c>
      <c r="C84" s="12">
        <v>34</v>
      </c>
      <c r="D84" s="12">
        <v>2326.6</v>
      </c>
    </row>
    <row r="85" spans="1:4" ht="14.5" x14ac:dyDescent="0.35">
      <c r="A85" t="s">
        <v>19</v>
      </c>
      <c r="B85" t="s">
        <v>52</v>
      </c>
      <c r="C85" s="12">
        <v>34</v>
      </c>
      <c r="D85" s="12">
        <v>2323.1000000000004</v>
      </c>
    </row>
    <row r="86" spans="1:4" ht="14.5" x14ac:dyDescent="0.35">
      <c r="A86" t="s">
        <v>19</v>
      </c>
      <c r="B86" t="s">
        <v>967</v>
      </c>
      <c r="C86" s="12">
        <v>32</v>
      </c>
      <c r="D86" s="12">
        <v>809.1</v>
      </c>
    </row>
    <row r="87" spans="1:4" ht="14.5" x14ac:dyDescent="0.35">
      <c r="A87" t="s">
        <v>19</v>
      </c>
      <c r="B87" t="s">
        <v>113</v>
      </c>
      <c r="C87" s="12">
        <v>31</v>
      </c>
      <c r="D87" s="12">
        <v>1340.3999999999999</v>
      </c>
    </row>
    <row r="88" spans="1:4" ht="14.5" x14ac:dyDescent="0.35">
      <c r="A88" t="s">
        <v>19</v>
      </c>
      <c r="B88" t="s">
        <v>186</v>
      </c>
      <c r="C88" s="12">
        <v>25</v>
      </c>
      <c r="D88" s="12">
        <v>1102.3</v>
      </c>
    </row>
    <row r="89" spans="1:4" ht="14.5" x14ac:dyDescent="0.35">
      <c r="A89" t="s">
        <v>19</v>
      </c>
      <c r="B89" t="s">
        <v>1116</v>
      </c>
      <c r="C89" s="12">
        <v>24</v>
      </c>
      <c r="D89" s="12">
        <v>1876.1</v>
      </c>
    </row>
    <row r="90" spans="1:4" ht="14.5" x14ac:dyDescent="0.35">
      <c r="A90" t="s">
        <v>19</v>
      </c>
      <c r="B90" t="s">
        <v>334</v>
      </c>
      <c r="C90" s="12">
        <v>24</v>
      </c>
      <c r="D90" s="12">
        <v>1245.3999999999999</v>
      </c>
    </row>
    <row r="91" spans="1:4" ht="14.5" x14ac:dyDescent="0.35">
      <c r="A91" t="s">
        <v>19</v>
      </c>
      <c r="B91" t="s">
        <v>331</v>
      </c>
      <c r="C91" s="12">
        <v>23</v>
      </c>
      <c r="D91" s="12">
        <v>1240.7</v>
      </c>
    </row>
    <row r="92" spans="1:4" ht="14.5" x14ac:dyDescent="0.35">
      <c r="A92" t="s">
        <v>19</v>
      </c>
      <c r="B92" t="s">
        <v>437</v>
      </c>
      <c r="C92" s="12">
        <v>22</v>
      </c>
      <c r="D92" s="12">
        <v>1253.8</v>
      </c>
    </row>
    <row r="93" spans="1:4" ht="14.5" x14ac:dyDescent="0.35">
      <c r="A93" t="s">
        <v>19</v>
      </c>
      <c r="B93" t="s">
        <v>309</v>
      </c>
      <c r="C93" s="12">
        <v>21</v>
      </c>
      <c r="D93" s="12">
        <v>2071.3000000000002</v>
      </c>
    </row>
    <row r="94" spans="1:4" ht="14.5" x14ac:dyDescent="0.35">
      <c r="A94" t="s">
        <v>19</v>
      </c>
      <c r="B94" t="s">
        <v>364</v>
      </c>
      <c r="C94" s="12">
        <v>20</v>
      </c>
      <c r="D94" s="12">
        <v>1564.8000000000002</v>
      </c>
    </row>
    <row r="95" spans="1:4" ht="14.5" x14ac:dyDescent="0.35">
      <c r="A95" t="s">
        <v>19</v>
      </c>
      <c r="B95" t="s">
        <v>997</v>
      </c>
      <c r="C95" s="12">
        <v>16</v>
      </c>
      <c r="D95" s="12">
        <v>515.79999999999995</v>
      </c>
    </row>
    <row r="96" spans="1:4" ht="14.5" x14ac:dyDescent="0.35">
      <c r="A96" t="s">
        <v>19</v>
      </c>
      <c r="B96" t="s">
        <v>49</v>
      </c>
      <c r="C96" s="12">
        <v>15</v>
      </c>
      <c r="D96" s="12">
        <v>1366</v>
      </c>
    </row>
    <row r="97" spans="1:4" ht="14.5" x14ac:dyDescent="0.35">
      <c r="A97" t="s">
        <v>19</v>
      </c>
      <c r="B97" t="s">
        <v>74</v>
      </c>
      <c r="C97" s="12">
        <v>14</v>
      </c>
      <c r="D97" s="12">
        <v>836.69999999999993</v>
      </c>
    </row>
    <row r="98" spans="1:4" ht="14.5" x14ac:dyDescent="0.35">
      <c r="A98" t="s">
        <v>19</v>
      </c>
      <c r="B98" t="s">
        <v>429</v>
      </c>
      <c r="C98" s="12">
        <v>13</v>
      </c>
      <c r="D98" s="12">
        <v>392.8</v>
      </c>
    </row>
    <row r="99" spans="1:4" ht="14.5" x14ac:dyDescent="0.35">
      <c r="A99" t="s">
        <v>19</v>
      </c>
      <c r="B99" t="s">
        <v>545</v>
      </c>
      <c r="C99" s="12">
        <v>13</v>
      </c>
      <c r="D99" s="12">
        <v>734.5</v>
      </c>
    </row>
    <row r="100" spans="1:4" ht="14.5" x14ac:dyDescent="0.35">
      <c r="A100" t="s">
        <v>19</v>
      </c>
      <c r="B100" t="s">
        <v>949</v>
      </c>
      <c r="C100" s="12">
        <v>12</v>
      </c>
      <c r="D100" s="12">
        <v>1083.4000000000001</v>
      </c>
    </row>
    <row r="101" spans="1:4" ht="14.5" x14ac:dyDescent="0.35">
      <c r="A101" t="s">
        <v>19</v>
      </c>
      <c r="B101" t="s">
        <v>243</v>
      </c>
      <c r="C101" s="12">
        <v>11</v>
      </c>
      <c r="D101" s="12">
        <v>315.70000000000005</v>
      </c>
    </row>
    <row r="102" spans="1:4" ht="14.5" x14ac:dyDescent="0.35">
      <c r="A102" t="s">
        <v>19</v>
      </c>
      <c r="B102" t="s">
        <v>258</v>
      </c>
      <c r="C102" s="12">
        <v>9</v>
      </c>
      <c r="D102" s="12">
        <v>273.59999999999997</v>
      </c>
    </row>
    <row r="103" spans="1:4" ht="14.5" x14ac:dyDescent="0.35">
      <c r="A103" t="s">
        <v>19</v>
      </c>
      <c r="B103" t="s">
        <v>342</v>
      </c>
      <c r="C103" s="12">
        <v>7</v>
      </c>
      <c r="D103" s="12">
        <v>350.4</v>
      </c>
    </row>
    <row r="104" spans="1:4" ht="14.5" x14ac:dyDescent="0.35">
      <c r="A104" t="s">
        <v>19</v>
      </c>
      <c r="B104" t="s">
        <v>416</v>
      </c>
      <c r="C104" s="12">
        <v>6</v>
      </c>
      <c r="D104" s="12">
        <v>445.79999999999995</v>
      </c>
    </row>
    <row r="105" spans="1:4" ht="14.5" x14ac:dyDescent="0.35">
      <c r="A105" t="s">
        <v>19</v>
      </c>
      <c r="B105" t="s">
        <v>84</v>
      </c>
      <c r="C105" s="12">
        <v>5</v>
      </c>
      <c r="D105" s="12">
        <v>192.5</v>
      </c>
    </row>
    <row r="106" spans="1:4" ht="14.5" x14ac:dyDescent="0.35">
      <c r="A106" t="s">
        <v>19</v>
      </c>
      <c r="B106" t="s">
        <v>608</v>
      </c>
      <c r="C106" s="12">
        <v>5</v>
      </c>
      <c r="D106" s="12">
        <v>167.70000000000002</v>
      </c>
    </row>
    <row r="107" spans="1:4" ht="14.5" x14ac:dyDescent="0.35">
      <c r="A107" t="s">
        <v>19</v>
      </c>
      <c r="B107" t="s">
        <v>268</v>
      </c>
      <c r="C107" s="12">
        <v>5</v>
      </c>
      <c r="D107" s="12">
        <v>195.90000000000003</v>
      </c>
    </row>
    <row r="108" spans="1:4" ht="14.5" x14ac:dyDescent="0.35">
      <c r="A108" t="s">
        <v>19</v>
      </c>
      <c r="B108" t="s">
        <v>292</v>
      </c>
      <c r="C108" s="12">
        <v>5</v>
      </c>
      <c r="D108" s="12">
        <v>225.00000000000003</v>
      </c>
    </row>
    <row r="109" spans="1:4" ht="14.5" x14ac:dyDescent="0.35">
      <c r="A109" t="s">
        <v>19</v>
      </c>
      <c r="B109" t="s">
        <v>670</v>
      </c>
      <c r="C109" s="12">
        <v>4</v>
      </c>
      <c r="D109" s="12">
        <v>204.8</v>
      </c>
    </row>
    <row r="110" spans="1:4" ht="14.5" x14ac:dyDescent="0.35">
      <c r="A110" t="s">
        <v>19</v>
      </c>
      <c r="B110" t="s">
        <v>1383</v>
      </c>
      <c r="C110" s="12">
        <v>3</v>
      </c>
      <c r="D110" s="12">
        <v>127.19999999999999</v>
      </c>
    </row>
    <row r="111" spans="1:4" ht="14.5" x14ac:dyDescent="0.35">
      <c r="A111" t="s">
        <v>19</v>
      </c>
      <c r="B111" t="s">
        <v>1911</v>
      </c>
      <c r="C111" s="12">
        <v>3</v>
      </c>
      <c r="D111" s="12">
        <v>285</v>
      </c>
    </row>
    <row r="112" spans="1:4" ht="14.5" x14ac:dyDescent="0.35">
      <c r="A112" t="s">
        <v>19</v>
      </c>
      <c r="B112" t="s">
        <v>392</v>
      </c>
      <c r="C112" s="12">
        <v>2</v>
      </c>
      <c r="D112" s="12">
        <v>28.4</v>
      </c>
    </row>
    <row r="113" spans="1:4" ht="14.5" x14ac:dyDescent="0.35">
      <c r="A113" t="s">
        <v>19</v>
      </c>
      <c r="B113" t="s">
        <v>208</v>
      </c>
      <c r="C113" s="12">
        <v>2</v>
      </c>
      <c r="D113" s="12">
        <v>97.6</v>
      </c>
    </row>
    <row r="114" spans="1:4" ht="14.5" x14ac:dyDescent="0.35">
      <c r="A114" t="s">
        <v>19</v>
      </c>
      <c r="B114" t="s">
        <v>641</v>
      </c>
      <c r="C114" s="12">
        <v>2</v>
      </c>
      <c r="D114" s="12">
        <v>348.2</v>
      </c>
    </row>
    <row r="115" spans="1:4" ht="14.5" x14ac:dyDescent="0.35">
      <c r="A115" t="s">
        <v>19</v>
      </c>
      <c r="B115" t="s">
        <v>700</v>
      </c>
      <c r="C115" s="12">
        <v>2</v>
      </c>
      <c r="D115" s="12">
        <v>30.8</v>
      </c>
    </row>
    <row r="116" spans="1:4" ht="14.5" x14ac:dyDescent="0.35">
      <c r="A116" t="s">
        <v>19</v>
      </c>
      <c r="B116" t="s">
        <v>338</v>
      </c>
      <c r="C116" s="12">
        <v>1</v>
      </c>
      <c r="D116" s="12">
        <v>92.6</v>
      </c>
    </row>
    <row r="117" spans="1:4" ht="14.5" x14ac:dyDescent="0.35">
      <c r="A117" t="s">
        <v>19</v>
      </c>
      <c r="B117" t="s">
        <v>802</v>
      </c>
      <c r="C117" s="12">
        <v>1</v>
      </c>
      <c r="D117" s="12">
        <v>39.299999999999997</v>
      </c>
    </row>
    <row r="118" spans="1:4" ht="14.5" x14ac:dyDescent="0.35"/>
    <row r="119" spans="1:4" ht="14.5" x14ac:dyDescent="0.35"/>
    <row r="120" spans="1:4" ht="14.5" x14ac:dyDescent="0.35"/>
    <row r="121" spans="1:4" ht="14.5" x14ac:dyDescent="0.35"/>
    <row r="122" spans="1:4" ht="14.5" x14ac:dyDescent="0.35"/>
    <row r="125" spans="1:4" ht="14.5" x14ac:dyDescent="0.35">
      <c r="A125" s="15" t="s">
        <v>2559</v>
      </c>
      <c r="B125" t="s">
        <v>2550</v>
      </c>
    </row>
    <row r="126" spans="1:4" ht="14.5" x14ac:dyDescent="0.35">
      <c r="A126" s="16">
        <v>0</v>
      </c>
      <c r="B126" s="12">
        <v>90</v>
      </c>
    </row>
    <row r="127" spans="1:4" ht="14.5" x14ac:dyDescent="0.35">
      <c r="A127" s="16">
        <v>1</v>
      </c>
      <c r="B127" s="12">
        <v>424</v>
      </c>
    </row>
    <row r="128" spans="1:4" ht="14.5" x14ac:dyDescent="0.35">
      <c r="A128" s="16">
        <v>2</v>
      </c>
      <c r="B128" s="12">
        <v>291</v>
      </c>
    </row>
    <row r="129" spans="1:2" ht="14.5" x14ac:dyDescent="0.35">
      <c r="A129" s="16">
        <v>3</v>
      </c>
      <c r="B129" s="12">
        <v>180</v>
      </c>
    </row>
    <row r="130" spans="1:2" ht="14.5" x14ac:dyDescent="0.35">
      <c r="A130" s="16">
        <v>4</v>
      </c>
      <c r="B130" s="12">
        <v>107</v>
      </c>
    </row>
    <row r="131" spans="1:2" ht="14.5" x14ac:dyDescent="0.35">
      <c r="A131" s="16">
        <v>5</v>
      </c>
      <c r="B131" s="12">
        <v>54</v>
      </c>
    </row>
    <row r="132" spans="1:2" ht="14.5" x14ac:dyDescent="0.35">
      <c r="A132" s="16">
        <v>6</v>
      </c>
      <c r="B132" s="12">
        <v>24</v>
      </c>
    </row>
    <row r="133" spans="1:2" ht="14.5" x14ac:dyDescent="0.35">
      <c r="A133" s="16">
        <v>7</v>
      </c>
      <c r="B133" s="12">
        <v>15</v>
      </c>
    </row>
    <row r="134" spans="1:2" ht="14.5" x14ac:dyDescent="0.35">
      <c r="A134" s="16">
        <v>8</v>
      </c>
      <c r="B134" s="12">
        <v>16</v>
      </c>
    </row>
    <row r="135" spans="1:2" ht="14.5" x14ac:dyDescent="0.35">
      <c r="A135" s="16">
        <v>9</v>
      </c>
      <c r="B135" s="12">
        <v>5</v>
      </c>
    </row>
    <row r="136" spans="1:2" ht="14.5" x14ac:dyDescent="0.35">
      <c r="A136" s="16">
        <v>10</v>
      </c>
      <c r="B136" s="12">
        <v>1</v>
      </c>
    </row>
    <row r="137" spans="1:2" ht="14.5" x14ac:dyDescent="0.35">
      <c r="A137" s="16">
        <v>11</v>
      </c>
      <c r="B137" s="12">
        <v>6</v>
      </c>
    </row>
    <row r="138" spans="1:2" ht="14.5" x14ac:dyDescent="0.35">
      <c r="A138" s="16">
        <v>12</v>
      </c>
      <c r="B138" s="12">
        <v>2</v>
      </c>
    </row>
    <row r="139" spans="1:2" ht="14.5" x14ac:dyDescent="0.35">
      <c r="A139" s="16">
        <v>13</v>
      </c>
      <c r="B139" s="12">
        <v>10</v>
      </c>
    </row>
    <row r="140" spans="1:2" ht="14.5" x14ac:dyDescent="0.35">
      <c r="A140" s="16">
        <v>14</v>
      </c>
      <c r="B140" s="12">
        <v>6</v>
      </c>
    </row>
    <row r="141" spans="1:2" ht="14.5" x14ac:dyDescent="0.35">
      <c r="A141" s="16" t="s">
        <v>2570</v>
      </c>
      <c r="B141" s="12">
        <v>1231</v>
      </c>
    </row>
    <row r="144" spans="1:2" ht="14.5" x14ac:dyDescent="0.35">
      <c r="A144" s="15" t="s">
        <v>2559</v>
      </c>
      <c r="B144" t="s">
        <v>2550</v>
      </c>
    </row>
    <row r="145" spans="1:2" ht="14.5" x14ac:dyDescent="0.35">
      <c r="A145" s="16">
        <v>1</v>
      </c>
      <c r="B145" s="12">
        <v>15</v>
      </c>
    </row>
    <row r="146" spans="1:2" ht="14.5" x14ac:dyDescent="0.35">
      <c r="A146" s="16">
        <v>2</v>
      </c>
      <c r="B146" s="12">
        <v>62</v>
      </c>
    </row>
    <row r="147" spans="1:2" ht="14.5" x14ac:dyDescent="0.35">
      <c r="A147" s="16">
        <v>3</v>
      </c>
      <c r="B147" s="12">
        <v>247</v>
      </c>
    </row>
    <row r="148" spans="1:2" ht="14.5" x14ac:dyDescent="0.35">
      <c r="A148" s="16">
        <v>4</v>
      </c>
      <c r="B148" s="12">
        <v>546</v>
      </c>
    </row>
    <row r="149" spans="1:2" ht="14.5" x14ac:dyDescent="0.35">
      <c r="A149" s="16">
        <v>5</v>
      </c>
      <c r="B149" s="12">
        <v>361</v>
      </c>
    </row>
    <row r="150" spans="1:2" ht="14.5" x14ac:dyDescent="0.35">
      <c r="A150" s="16" t="s">
        <v>2570</v>
      </c>
      <c r="B150" s="12">
        <v>1231</v>
      </c>
    </row>
  </sheetData>
  <pageMargins left="0.7" right="0.7" top="0.75" bottom="0.75" header="0.3" footer="0.3"/>
  <pageSetup orientation="portrait" r:id="rId9"/>
  <ignoredErrors>
    <ignoredError sqref="I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0"/>
  <sheetViews>
    <sheetView showGridLines="0" topLeftCell="B1" workbookViewId="0">
      <selection activeCell="K17" sqref="K17"/>
    </sheetView>
  </sheetViews>
  <sheetFormatPr defaultRowHeight="14.5" x14ac:dyDescent="0.35"/>
  <cols>
    <col min="1" max="1" width="14.26953125" customWidth="1"/>
    <col min="2" max="2" width="15.6328125" customWidth="1"/>
    <col min="3" max="3" width="7" customWidth="1"/>
    <col min="4" max="4" width="6" customWidth="1"/>
    <col min="5" max="5" width="9.1796875" customWidth="1"/>
    <col min="6" max="6" width="10.90625" customWidth="1"/>
    <col min="8" max="8" width="13" customWidth="1"/>
    <col min="9" max="9" width="9.26953125" customWidth="1"/>
    <col min="10" max="10" width="8.90625" customWidth="1"/>
    <col min="11" max="11" width="8.54296875" customWidth="1"/>
  </cols>
  <sheetData>
    <row r="2" spans="1:12" x14ac:dyDescent="0.35">
      <c r="H2" t="s">
        <v>2562</v>
      </c>
    </row>
    <row r="3" spans="1:12" ht="15" thickBot="1" x14ac:dyDescent="0.4">
      <c r="A3" s="15" t="s">
        <v>2549</v>
      </c>
      <c r="B3" s="15" t="s">
        <v>2561</v>
      </c>
    </row>
    <row r="4" spans="1:12" ht="17.5" customHeight="1" thickTop="1" thickBot="1" x14ac:dyDescent="0.4">
      <c r="A4" s="15" t="s">
        <v>2559</v>
      </c>
      <c r="B4" t="s">
        <v>2557</v>
      </c>
      <c r="C4" t="s">
        <v>2556</v>
      </c>
      <c r="D4" t="s">
        <v>2558</v>
      </c>
      <c r="E4" t="s">
        <v>2555</v>
      </c>
      <c r="F4" t="s">
        <v>2560</v>
      </c>
      <c r="H4" s="19"/>
      <c r="I4" s="19" t="str">
        <f>B4</f>
        <v>Female</v>
      </c>
      <c r="J4" s="19" t="str">
        <f t="shared" ref="J4:L4" si="0">C4</f>
        <v>Male</v>
      </c>
      <c r="K4" s="19" t="str">
        <f t="shared" si="0"/>
        <v>Other</v>
      </c>
      <c r="L4" s="19" t="str">
        <f t="shared" si="0"/>
        <v>Unknown</v>
      </c>
    </row>
    <row r="5" spans="1:12" ht="16.5" customHeight="1" thickTop="1" thickBot="1" x14ac:dyDescent="0.4">
      <c r="A5" s="16" t="s">
        <v>18</v>
      </c>
      <c r="B5" s="18">
        <v>0.18961825201634841</v>
      </c>
      <c r="C5" s="18">
        <v>0.12262322351336576</v>
      </c>
      <c r="D5" s="18">
        <v>1.060537752469185E-2</v>
      </c>
      <c r="E5" s="18">
        <v>3.0599220547662797E-2</v>
      </c>
      <c r="F5" s="18">
        <v>0.35344607360206881</v>
      </c>
      <c r="H5" s="19" t="str">
        <f>A5</f>
        <v>App</v>
      </c>
      <c r="I5" s="20">
        <f t="shared" ref="I5:L9" si="1">B5</f>
        <v>0.18961825201634841</v>
      </c>
      <c r="J5" s="20">
        <f t="shared" si="1"/>
        <v>0.12262322351336576</v>
      </c>
      <c r="K5" s="20">
        <f t="shared" si="1"/>
        <v>1.060537752469185E-2</v>
      </c>
      <c r="L5" s="20">
        <f t="shared" si="1"/>
        <v>3.0599220547662797E-2</v>
      </c>
    </row>
    <row r="6" spans="1:12" ht="18.5" customHeight="1" thickTop="1" thickBot="1" x14ac:dyDescent="0.4">
      <c r="A6" s="16" t="s">
        <v>51</v>
      </c>
      <c r="B6" s="18">
        <v>5.0283982091147303E-2</v>
      </c>
      <c r="C6" s="18">
        <v>4.3060781812819873E-2</v>
      </c>
      <c r="D6" s="18">
        <v>1.5320025675641944E-3</v>
      </c>
      <c r="E6" s="18">
        <v>1.7794988689097006E-2</v>
      </c>
      <c r="F6" s="18">
        <v>0.11267175516062837</v>
      </c>
      <c r="H6" s="19" t="str">
        <f t="shared" ref="H6:H9" si="2">A6</f>
        <v>Instagram</v>
      </c>
      <c r="I6" s="20">
        <f t="shared" si="1"/>
        <v>5.0283982091147303E-2</v>
      </c>
      <c r="J6" s="20">
        <f t="shared" si="1"/>
        <v>4.3060781812819873E-2</v>
      </c>
      <c r="K6" s="20">
        <f t="shared" si="1"/>
        <v>1.5320025675641944E-3</v>
      </c>
      <c r="L6" s="20">
        <f t="shared" si="1"/>
        <v>1.7794988689097006E-2</v>
      </c>
    </row>
    <row r="7" spans="1:12" ht="17.5" customHeight="1" thickTop="1" thickBot="1" x14ac:dyDescent="0.4">
      <c r="A7" s="16" t="s">
        <v>70</v>
      </c>
      <c r="B7" s="18">
        <v>6.3496059750411282E-2</v>
      </c>
      <c r="C7" s="18">
        <v>4.6071629863988765E-2</v>
      </c>
      <c r="D7" s="18">
        <v>2.306247051322625E-3</v>
      </c>
      <c r="E7" s="18">
        <v>3.8927934093844286E-3</v>
      </c>
      <c r="F7" s="18">
        <v>0.11576673007510711</v>
      </c>
      <c r="H7" s="19" t="str">
        <f t="shared" si="2"/>
        <v>Partner App</v>
      </c>
      <c r="I7" s="20">
        <f t="shared" si="1"/>
        <v>6.3496059750411282E-2</v>
      </c>
      <c r="J7" s="20">
        <f t="shared" si="1"/>
        <v>4.6071629863988765E-2</v>
      </c>
      <c r="K7" s="20">
        <f t="shared" si="1"/>
        <v>2.306247051322625E-3</v>
      </c>
      <c r="L7" s="20">
        <f t="shared" si="1"/>
        <v>3.8927934093844286E-3</v>
      </c>
    </row>
    <row r="8" spans="1:12" ht="17" customHeight="1" thickTop="1" thickBot="1" x14ac:dyDescent="0.4">
      <c r="A8" s="16" t="s">
        <v>40</v>
      </c>
      <c r="B8" s="18">
        <v>9.6337892927149532E-2</v>
      </c>
      <c r="C8" s="18">
        <v>6.7920115842382611E-2</v>
      </c>
      <c r="D8" s="18">
        <v>5.4979832664581261E-3</v>
      </c>
      <c r="E8" s="18">
        <v>1.2933041488102518E-2</v>
      </c>
      <c r="F8" s="18">
        <v>0.1826890335240928</v>
      </c>
      <c r="H8" s="19" t="str">
        <f t="shared" si="2"/>
        <v>Target.com</v>
      </c>
      <c r="I8" s="20">
        <f t="shared" si="1"/>
        <v>9.6337892927149532E-2</v>
      </c>
      <c r="J8" s="20">
        <f t="shared" si="1"/>
        <v>6.7920115842382611E-2</v>
      </c>
      <c r="K8" s="20">
        <f t="shared" si="1"/>
        <v>5.4979832664581261E-3</v>
      </c>
      <c r="L8" s="20">
        <f t="shared" si="1"/>
        <v>1.2933041488102518E-2</v>
      </c>
    </row>
    <row r="9" spans="1:12" ht="18.5" customHeight="1" thickTop="1" thickBot="1" x14ac:dyDescent="0.4">
      <c r="A9" s="16" t="s">
        <v>35</v>
      </c>
      <c r="B9" s="18">
        <v>0.12522098709469262</v>
      </c>
      <c r="C9" s="18">
        <v>9.1492740283116228E-2</v>
      </c>
      <c r="D9" s="18">
        <v>6.3042760790965081E-3</v>
      </c>
      <c r="E9" s="18">
        <v>1.2408404181197551E-2</v>
      </c>
      <c r="F9" s="18">
        <v>0.23542640763810288</v>
      </c>
      <c r="H9" s="19" t="str">
        <f t="shared" si="2"/>
        <v>Website</v>
      </c>
      <c r="I9" s="20">
        <f t="shared" si="1"/>
        <v>0.12522098709469262</v>
      </c>
      <c r="J9" s="20">
        <f t="shared" si="1"/>
        <v>9.1492740283116228E-2</v>
      </c>
      <c r="K9" s="20">
        <f t="shared" si="1"/>
        <v>6.3042760790965081E-3</v>
      </c>
      <c r="L9" s="20">
        <f t="shared" si="1"/>
        <v>1.2408404181197551E-2</v>
      </c>
    </row>
    <row r="10" spans="1:12" ht="15" thickTop="1" x14ac:dyDescent="0.35">
      <c r="A10" s="16" t="s">
        <v>2560</v>
      </c>
      <c r="B10" s="18">
        <v>0.52495717387974916</v>
      </c>
      <c r="C10" s="18">
        <v>0.3711684913156732</v>
      </c>
      <c r="D10" s="18">
        <v>2.6245886489133303E-2</v>
      </c>
      <c r="E10" s="18">
        <v>7.7628448315444312E-2</v>
      </c>
      <c r="F10" s="1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topLeftCell="A895" workbookViewId="0">
      <selection activeCell="E703" sqref="E703"/>
    </sheetView>
  </sheetViews>
  <sheetFormatPr defaultRowHeight="14" x14ac:dyDescent="0.35"/>
  <cols>
    <col min="2" max="2" width="19.26953125" customWidth="1"/>
    <col min="3" max="3" width="8.26953125" customWidth="1"/>
    <col min="4" max="4" width="9.26953125" customWidth="1"/>
    <col min="5" max="5" width="7.453125" customWidth="1"/>
    <col min="6" max="6" width="10.1796875" customWidth="1"/>
    <col min="7" max="7" width="9.453125" customWidth="1"/>
    <col min="8" max="8" width="15.7265625" customWidth="1"/>
    <col min="9" max="9" width="10.7265625" customWidth="1"/>
    <col min="10" max="10" width="7.81640625" customWidth="1"/>
    <col min="11" max="11" width="8.81640625" customWidth="1"/>
    <col min="12" max="12" width="19.7265625" customWidth="1"/>
    <col min="13" max="13" width="13.36328125" customWidth="1"/>
    <col min="14" max="14" width="9.36328125" customWidth="1"/>
    <col min="15" max="15" width="12.26953125" customWidth="1"/>
  </cols>
  <sheetData>
    <row r="1" spans="1:15" ht="14.5" x14ac:dyDescent="0.35">
      <c r="A1" t="s">
        <v>0</v>
      </c>
      <c r="B1" t="s">
        <v>1</v>
      </c>
      <c r="C1" t="s">
        <v>2</v>
      </c>
      <c r="D1" t="s">
        <v>3</v>
      </c>
      <c r="E1" t="s">
        <v>4</v>
      </c>
      <c r="F1" t="s">
        <v>5</v>
      </c>
      <c r="G1" t="s">
        <v>6</v>
      </c>
      <c r="H1" t="s">
        <v>7</v>
      </c>
      <c r="I1" t="s">
        <v>8</v>
      </c>
      <c r="J1" t="s">
        <v>9</v>
      </c>
      <c r="K1" t="s">
        <v>10</v>
      </c>
      <c r="L1" t="s">
        <v>11</v>
      </c>
      <c r="M1" s="2" t="s">
        <v>12</v>
      </c>
      <c r="N1" s="2" t="s">
        <v>13</v>
      </c>
      <c r="O1" s="2" t="s">
        <v>14</v>
      </c>
    </row>
    <row r="2" spans="1:15" ht="14.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ht="14.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ht="14.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ht="14.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ht="14.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ht="14.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ht="14.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ht="14.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ht="14.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ht="14.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ht="14.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ht="14.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ht="14.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ht="14.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ht="14.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ht="14.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ht="14.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ht="14.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ht="14.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ht="14.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ht="14.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ht="14.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ht="14.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ht="14.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ht="14.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ht="14.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ht="14.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ht="14.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ht="14.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ht="14.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ht="14.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ht="14.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ht="14.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ht="14.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ht="14.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ht="14.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ht="14.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ht="14.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ht="14.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ht="14.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ht="14.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ht="14.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ht="14.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ht="14.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ht="14.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ht="14.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ht="14.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ht="14.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ht="14.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ht="14.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ht="14.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ht="14.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ht="14.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ht="14.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ht="14.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ht="14.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ht="14.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ht="14.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ht="14.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ht="14.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ht="14.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ht="14.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ht="14.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ht="14.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ht="14.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ht="14.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ht="14.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ht="14.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ht="14.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ht="14.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ht="14.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ht="14.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ht="14.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ht="14.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ht="14.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ht="14.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ht="14.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ht="14.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ht="14.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ht="14.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ht="14.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ht="14.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ht="14.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ht="14.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ht="14.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ht="14.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ht="14.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ht="14.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ht="14.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ht="14.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ht="14.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ht="14.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ht="14.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ht="14.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ht="14.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ht="14.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ht="14.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ht="14.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ht="14.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ht="14.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ht="14.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ht="14.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ht="14.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ht="14.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ht="14.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ht="14.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ht="14.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ht="14.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ht="14.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ht="14.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ht="14.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ht="14.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ht="14.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ht="14.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ht="14.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ht="14.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ht="14.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ht="14.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ht="14.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ht="14.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ht="14.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ht="14.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ht="14.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ht="14.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ht="14.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ht="14.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ht="14.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ht="14.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ht="14.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ht="14.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ht="14.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ht="14.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ht="14.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ht="14.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ht="14.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ht="14.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ht="14.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ht="14.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ht="14.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ht="14.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ht="14.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ht="14.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ht="14.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ht="14.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ht="14.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ht="14.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ht="14.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ht="14.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ht="14.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ht="14.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ht="14.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ht="14.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ht="14.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ht="14.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ht="14.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ht="14.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ht="14.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ht="14.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ht="14.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ht="14.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ht="14.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ht="14.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ht="14.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ht="14.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ht="14.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ht="14.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ht="14.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ht="14.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ht="14.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ht="14.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ht="14.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ht="14.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ht="14.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ht="14.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ht="14.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ht="14.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ht="14.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ht="14.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ht="14.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ht="14.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ht="14.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ht="14.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ht="14.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ht="14.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ht="14.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ht="14.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ht="14.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ht="14.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ht="14.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ht="14.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ht="14.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ht="14.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ht="14.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ht="14.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ht="14.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ht="14.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ht="14.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ht="14.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ht="14.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ht="14.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ht="14.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ht="14.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ht="14.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ht="14.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ht="14.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ht="14.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ht="14.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ht="14.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ht="14.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ht="14.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ht="14.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ht="14.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ht="14.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ht="14.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ht="14.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ht="14.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ht="14.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ht="14.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ht="14.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ht="14.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ht="14.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ht="14.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ht="14.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ht="14.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ht="14.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ht="14.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ht="14.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ht="14.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ht="14.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ht="14.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ht="14.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ht="14.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ht="14.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ht="14.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ht="14.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ht="14.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ht="14.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ht="14.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ht="14.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ht="14.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ht="14.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ht="14.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ht="14.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ht="14.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ht="14.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ht="14.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ht="14.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ht="14.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ht="14.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ht="14.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ht="14.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ht="14.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ht="14.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ht="14.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ht="14.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ht="14.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ht="14.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ht="14.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ht="14.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ht="14.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ht="14.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ht="14.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ht="14.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ht="14.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ht="14.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ht="14.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ht="14.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ht="14.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ht="14.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ht="14.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ht="14.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ht="14.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ht="14.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ht="14.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ht="14.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ht="14.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ht="14.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ht="14.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ht="14.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ht="14.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ht="14.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ht="14.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ht="14.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ht="14.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ht="14.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ht="14.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ht="14.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ht="14.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ht="14.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ht="14.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ht="14.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ht="14.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ht="14.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ht="14.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ht="14.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ht="14.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ht="14.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ht="14.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ht="14.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ht="14.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ht="14.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ht="14.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ht="14.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ht="14.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ht="14.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ht="14.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ht="14.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ht="14.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ht="14.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ht="14.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ht="14.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ht="14.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ht="14.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ht="14.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ht="14.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ht="14.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ht="14.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ht="14.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ht="14.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ht="14.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ht="14.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ht="14.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ht="14.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ht="14.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ht="14.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ht="14.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ht="14.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ht="14.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ht="14.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ht="14.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ht="14.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ht="14.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ht="14.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ht="14.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ht="14.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ht="14.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ht="14.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ht="14.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ht="14.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ht="14.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ht="14.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ht="14.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ht="14.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ht="14.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ht="14.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ht="14.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ht="14.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ht="14.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ht="14.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ht="14.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ht="14.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ht="14.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ht="14.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ht="14.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ht="14.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ht="14.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ht="14.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ht="14.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ht="14.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ht="14.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ht="14.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ht="14.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ht="14.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ht="14.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ht="14.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ht="14.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ht="14.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ht="14.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ht="14.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ht="14.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ht="14.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ht="14.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ht="14.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ht="14.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ht="14.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ht="14.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ht="14.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ht="14.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ht="14.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ht="14.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ht="14.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ht="14.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ht="14.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ht="14.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ht="14.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ht="14.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ht="14.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ht="14.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ht="14.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ht="14.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ht="14.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ht="14.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ht="14.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ht="14.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ht="14.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ht="14.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ht="14.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ht="14.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ht="14.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ht="14.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ht="14.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ht="14.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ht="14.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ht="14.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ht="14.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ht="14.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ht="14.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ht="14.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ht="14.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ht="14.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ht="14.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ht="14.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ht="14.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ht="14.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ht="14.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ht="14.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ht="14.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ht="14.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ht="14.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ht="14.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ht="14.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ht="14.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ht="14.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ht="14.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ht="14.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ht="14.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ht="14.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ht="14.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ht="14.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ht="14.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ht="14.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ht="14.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ht="14.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ht="14.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ht="14.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ht="14.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ht="14.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ht="14.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ht="14.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ht="14.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ht="14.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ht="14.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ht="14.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ht="14.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ht="14.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ht="14.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ht="14.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ht="14.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ht="14.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ht="14.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ht="14.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ht="14.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ht="14.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ht="14.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ht="14.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ht="14.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ht="14.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ht="14.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ht="14.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ht="14.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ht="14.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ht="14.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ht="14.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ht="14.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ht="14.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ht="14.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ht="14.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ht="14.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ht="14.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ht="14.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ht="14.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ht="14.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ht="14.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ht="14.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ht="14.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ht="14.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ht="14.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ht="14.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ht="14.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ht="14.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ht="14.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ht="14.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ht="14.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ht="14.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ht="14.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ht="14.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ht="14.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ht="14.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ht="14.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ht="14.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ht="14.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ht="14.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ht="14.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ht="14.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ht="14.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ht="14.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ht="14.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ht="14.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ht="14.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ht="14.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ht="14.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ht="14.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ht="14.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ht="14.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ht="14.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ht="14.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ht="14.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ht="14.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ht="14.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ht="14.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ht="14.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ht="14.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ht="14.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ht="14.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ht="14.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ht="14.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ht="14.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ht="14.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ht="14.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ht="14.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ht="14.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ht="14.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ht="14.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ht="14.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ht="14.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ht="14.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ht="14.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ht="14.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ht="14.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ht="14.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ht="14.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ht="14.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ht="14.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ht="14.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ht="14.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ht="14.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ht="14.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ht="14.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ht="14.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ht="14.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ht="14.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ht="14.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ht="14.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ht="14.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ht="14.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ht="14.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ht="14.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ht="14.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ht="14.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ht="14.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ht="14.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ht="14.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ht="14.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ht="14.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ht="14.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ht="14.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ht="14.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ht="14.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ht="14.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ht="14.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ht="14.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ht="14.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ht="14.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ht="14.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ht="14.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ht="14.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ht="14.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ht="14.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ht="14.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ht="14.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ht="14.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ht="14.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ht="14.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ht="14.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ht="14.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ht="14.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ht="14.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ht="14.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ht="14.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ht="14.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ht="14.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ht="14.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ht="14.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ht="14.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ht="14.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ht="14.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ht="14.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ht="14.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ht="14.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ht="14.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ht="14.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ht="14.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ht="14.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ht="14.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ht="14.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ht="14.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ht="14.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ht="14.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ht="14.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ht="14.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ht="14.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ht="14.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ht="14.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ht="14.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ht="14.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ht="14.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ht="14.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ht="14.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ht="14.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ht="14.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ht="14.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ht="14.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ht="14.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ht="14.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ht="14.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ht="14.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ht="14.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ht="14.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ht="14.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ht="14.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ht="14.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ht="14.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ht="14.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ht="14.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ht="14.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ht="14.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ht="14.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ht="14.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ht="14.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ht="14.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ht="14.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ht="14.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ht="14.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ht="14.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ht="14.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ht="14.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ht="14.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ht="14.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ht="14.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ht="14.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ht="14.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ht="14.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ht="14.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ht="14.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ht="14.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ht="14.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ht="14.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ht="14.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ht="14.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ht="14.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ht="14.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ht="14.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ht="14.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ht="14.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ht="14.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ht="14.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ht="14.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ht="14.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ht="14.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ht="14.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ht="14.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ht="14.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ht="14.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ht="14.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ht="14.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ht="14.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ht="14.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ht="14.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ht="14.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ht="14.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ht="14.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ht="14.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ht="14.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ht="14.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ht="14.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ht="14.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ht="14.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ht="14.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ht="14.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ht="14.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ht="14.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ht="14.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ht="14.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ht="14.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ht="14.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ht="14.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ht="14.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ht="14.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ht="14.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ht="14.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ht="14.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ht="14.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ht="14.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ht="14.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ht="14.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ht="14.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ht="14.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ht="14.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ht="14.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ht="14.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ht="14.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ht="14.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ht="14.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ht="14.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ht="14.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ht="14.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ht="14.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ht="14.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ht="14.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ht="14.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ht="14.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ht="14.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ht="14.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ht="14.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ht="14.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ht="14.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ht="14.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ht="14.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ht="14.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ht="14.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ht="14.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ht="14.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ht="14.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ht="14.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ht="14.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ht="14.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ht="14.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ht="14.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ht="14.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ht="14.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ht="14.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ht="14.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ht="14.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ht="14.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ht="14.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ht="14.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ht="14.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ht="14.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ht="14.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ht="14.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ht="14.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ht="14.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ht="14.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ht="14.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ht="14.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ht="14.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ht="14.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ht="14.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ht="14.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ht="14.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ht="14.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ht="14.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ht="14.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ht="14.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ht="14.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ht="14.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ht="14.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ht="14.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ht="14.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ht="14.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ht="14.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ht="14.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ht="14.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ht="14.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ht="14.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ht="14.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ht="14.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ht="14.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ht="14.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ht="14.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ht="14.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ht="14.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ht="14.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ht="14.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ht="14.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ht="14.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ht="14.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ht="14.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ht="14.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ht="14.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ht="14.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ht="14.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ht="14.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ht="14.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ht="14.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ht="14.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ht="14.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ht="14.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ht="14.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ht="14.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ht="14.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ht="14.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ht="14.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ht="14.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ht="14.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ht="14.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ht="14.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ht="14.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ht="14.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ht="14.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ht="14.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ht="14.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ht="14.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ht="14.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ht="14.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ht="14.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ht="14.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ht="14.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ht="14.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ht="14.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ht="14.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ht="14.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ht="14.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ht="14.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ht="14.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ht="14.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ht="14.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ht="14.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ht="14.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ht="14.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ht="14.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ht="14.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ht="14.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ht="14.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ht="14.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ht="14.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ht="14.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ht="14.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ht="14.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ht="14.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ht="14.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ht="14.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ht="14.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ht="14.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ht="14.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ht="14.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ht="14.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ht="14.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ht="14.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ht="14.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ht="14.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ht="14.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ht="14.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ht="14.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ht="14.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ht="14.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ht="14.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ht="14.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ht="14.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ht="14.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ht="14.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ht="14.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ht="14.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ht="14.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ht="14.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ht="14.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ht="14.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ht="14.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ht="14.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ht="14.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ht="14.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ht="14.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ht="14.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ht="14.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ht="14.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ht="14.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ht="14.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ht="14.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ht="14.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ht="14.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ht="14.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ht="14.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ht="14.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ht="14.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ht="14.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ht="14.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ht="14.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ht="14.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ht="14.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ht="14.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ht="14.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ht="14.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ht="14.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ht="14.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ht="14.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ht="14.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ht="14.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ht="14.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ht="14.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ht="14.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ht="14.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ht="14.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ht="14.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ht="14.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ht="14.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ht="14.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ht="14.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ht="14.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ht="14.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ht="14.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ht="14.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ht="14.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ht="14.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ht="14.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ht="14.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ht="14.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ht="14.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ht="14.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ht="14.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ht="14.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ht="14.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ht="14.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ht="14.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ht="14.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ht="14.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ht="14.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ht="14.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ht="14.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ht="14.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ht="14.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ht="14.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ht="14.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ht="14.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ht="14.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ht="14.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ht="14.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ht="14.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ht="14.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ht="14.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ht="14.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ht="14.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ht="14.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ht="14.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ht="14.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ht="14.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ht="14.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ht="14.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ht="14.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ht="14.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ht="14.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ht="14.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ht="14.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ht="14.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ht="14.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ht="14.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ht="14.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ht="14.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ht="14.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ht="14.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ht="14.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ht="14.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ht="14.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ht="14.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ht="14.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ht="14.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ht="14.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ht="14.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ht="14.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ht="14.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ht="14.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ht="14.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ht="14.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ht="14.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ht="14.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ht="14.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ht="14.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ht="14.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ht="14.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ht="14.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ht="14.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ht="14.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ht="14.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ht="14.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ht="14.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ht="14.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ht="14.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ht="14.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ht="14.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ht="14.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ht="14.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ht="14.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ht="14.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ht="14.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ht="14.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ht="14.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ht="14.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ht="14.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ht="14.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ht="14.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ht="14.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ht="14.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ht="14.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ht="14.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ht="14.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ht="14.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ht="14.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ht="14.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ht="14.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ht="14.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ht="14.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ht="14.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ht="14.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ht="14.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ht="14.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ht="14.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ht="14.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ht="14.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ht="14.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ht="14.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ht="14.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ht="14.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ht="14.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ht="14.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ht="14.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ht="14.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ht="14.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ht="14.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ht="14.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ht="14.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ht="14.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ht="14.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ht="14.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ht="14.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ht="14.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ht="14.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ht="14.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ht="14.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ht="14.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ht="14.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ht="14.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ht="14.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ht="14.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ht="14.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ht="14.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ht="14.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ht="14.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ht="14.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ht="14.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ht="14.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ht="14.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ht="14.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ht="14.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ht="14.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ht="14.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ht="14.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ht="14.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ht="14.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ht="14.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ht="14.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ht="14.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ht="14.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ht="14.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ht="14.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ht="14.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ht="14.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ht="14.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ht="14.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ht="14.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ht="14.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ht="14.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ht="14.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ht="14.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ht="14.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ht="14.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ht="14.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ht="14.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ht="14.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ht="14.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ht="14.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ht="14.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ht="14.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ht="14.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ht="14.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ht="14.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ht="14.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ht="14.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ht="14.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ht="14.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ht="14.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ht="14.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ht="14.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ht="14.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ht="14.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ht="14.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ht="14.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ht="14.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ht="14.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ht="14.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ht="14.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ht="14.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ht="14.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ht="14.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ht="14.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ht="14.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ht="14.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ht="14.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ht="14.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ht="14.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ht="14.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ht="14.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ht="14.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ht="14.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ht="14.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ht="14.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ht="14.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ht="14.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ht="14.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ht="14.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ht="14.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ht="14.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ht="14.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ht="14.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ht="14.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ht="14.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ht="14.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ht="14.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ht="14.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ht="14.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ht="14.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ht="14.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ht="14.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ht="14.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ht="14.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ht="14.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ht="14.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ht="14.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ht="14.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ht="14.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ht="14.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ht="14.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ht="14.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ht="14.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ht="14.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ht="14.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ht="14.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ht="14.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ht="14.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ht="14.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ht="14.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ht="14.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ht="14.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ht="14.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ht="14.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ht="14.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ht="14.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ht="14.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ht="14.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ht="14.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ht="14.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ht="14.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ht="14.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ht="14.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ht="14.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ht="14.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ht="14.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ht="14.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ht="14.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ht="14.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ht="14.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ht="14.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ht="14.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ht="14.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ht="14.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ht="14.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ht="14.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ht="14.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ht="14.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ht="14.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ht="14.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ht="14.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ht="14.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ht="14.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ht="14.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ht="14.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ht="14.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ht="14.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ht="14.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ht="14.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ht="14.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ht="14.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ht="14.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ht="14.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ht="14.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ht="14.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ht="14.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ht="14.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ht="14.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ht="14.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ht="14.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ht="14.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ht="14.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ht="14.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ht="14.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ht="14.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ht="14.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ht="14.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ht="14.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ht="14.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ht="14.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ht="14.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ht="14.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ht="14.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ht="14.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ht="14.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ht="14.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ht="14.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ht="14.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ht="14.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ht="14.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ht="14.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ht="14.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ht="14.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ht="14.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ht="14.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ht="14.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ht="14.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ht="14.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ht="14.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ht="14.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ht="14.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ht="14.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ht="14.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ht="14.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ht="14.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ht="14.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ht="14.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ht="14.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ht="14.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ht="14.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ht="14.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ht="14.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ht="14.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ht="14.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ht="14.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ht="14.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ht="14.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ht="14.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ht="14.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ht="14.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ht="14.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ht="14.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ht="14.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ht="14.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ht="14.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ht="14.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ht="14.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ht="14.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ht="14.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ht="14.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ht="14.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ht="14.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ht="14.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ht="14.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ht="14.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ht="14.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ht="14.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ht="14.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ht="14.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ht="14.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ht="14.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ht="14.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ht="14.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ht="14.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ht="14.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ht="14.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ht="14.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ht="14.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ht="14.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ht="14.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ht="14.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ht="14.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ht="14.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ht="14.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ht="14.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ht="14.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ht="14.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ht="14.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ht="14.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ht="14.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ht="14.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ht="14.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ht="14.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ht="14.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ht="14.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ht="14.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ht="14.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ht="14.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ht="14.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ht="14.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ht="14.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ht="14.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ht="14.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ht="14.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ht="14.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ht="14.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ht="14.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ht="14.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ht="14.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ht="14.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ht="14.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ht="14.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ht="14.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ht="14.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ht="14.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ht="14.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ht="14.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ht="14.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ht="14.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ht="14.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ht="14.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ht="14.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ht="14.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ht="14.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ht="14.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ht="14.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ht="14.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ht="14.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ht="14.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ht="14.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ht="14.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ht="14.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ht="14.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ht="14.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ht="14.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ht="14.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ht="14.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ht="14.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ht="14.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ht="14.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ht="14.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ht="14.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ht="14.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ht="14.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ht="14.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ht="14.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ht="14.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ht="14.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ht="14.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ht="14.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ht="14.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ht="14.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ht="14.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ht="14.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ht="14.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ht="14.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ht="14.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ht="14.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ht="14.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ht="14.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ht="14.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ht="14.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ht="14.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ht="14.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ht="14.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ht="14.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ht="14.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ht="14.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ht="14.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ht="14.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ht="14.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ht="14.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ht="14.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ht="14.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ht="14.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ht="14.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ht="14.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ht="14.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ht="14.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ht="14.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ht="14.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ht="14.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ht="14.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ht="14.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ht="14.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ht="14.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ht="14.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ht="14.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ht="14.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ht="14.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ht="14.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ht="14.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ht="14.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ht="14.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ht="14.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ht="14.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ht="14.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ht="14.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ht="14.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ht="14.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ht="14.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ht="14.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ht="14.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ht="14.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ht="14.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ht="14.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ht="14.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ht="14.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ht="14.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ht="14.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ht="14.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ht="14.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ht="14.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ht="14.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ht="14.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ht="14.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ht="14.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ht="14.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ht="14.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ht="14.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ht="14.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ht="14.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ht="14.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ht="14.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ht="14.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ht="14.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ht="14.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ht="14.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ht="14.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ht="14.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ht="14.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ht="14.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ht="14.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ht="14.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ht="14.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ht="14.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ht="14.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ht="14.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ht="14.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ht="14.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ht="14.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ht="14.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ht="14.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ht="14.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ht="14.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ht="14.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ht="14.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ht="14.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ht="14.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ht="14.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ht="14.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ht="14.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ht="14.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ht="14.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ht="14.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ht="14.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ht="14.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ht="14.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ht="14.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ht="14.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ht="14.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ht="14.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ht="14.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ht="14.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ht="14.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ht="14.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ht="14.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ht="14.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ht="14.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ht="14.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ht="14.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ht="14.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ht="14.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ht="14.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ht="14.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ht="14.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ht="14.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ht="14.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ht="14.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ht="14.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ht="14.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ht="14.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ht="14.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ht="14.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ht="14.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ht="14.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ht="14.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ht="14.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ht="14.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ht="14.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ht="14.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ht="14.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ht="14.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ht="14.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ht="14.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ht="14.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ht="14.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ht="14.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ht="14.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ht="14.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ht="14.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ht="14.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ht="14.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ht="14.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ht="14.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ht="14.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ht="14.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ht="14.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ht="14.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ht="14.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ht="14.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ht="14.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ht="14.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ht="14.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ht="14.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ht="14.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ht="14.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ht="14.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ht="14.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ht="14.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ht="14.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ht="14.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ht="14.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ht="14.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ht="14.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ht="14.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ht="14.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ht="14.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ht="14.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ht="14.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ht="14.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ht="14.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ht="14.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ht="14.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ht="14.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ht="14.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ht="14.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ht="14.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ht="14.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ht="14.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ht="14.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ht="14.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ht="14.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ht="14.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ht="14.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ht="14.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ht="14.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ht="14.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ht="14.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ht="14.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ht="14.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ht="14.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ht="14.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ht="14.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ht="14.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ht="14.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ht="14.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ht="14.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ht="14.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ht="14.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ht="14.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ht="14.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ht="14.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ht="14.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ht="14.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ht="14.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ht="14.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ht="14.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ht="14.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ht="14.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ht="14.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ht="14.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ht="14.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ht="14.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ht="14.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ht="14.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ht="14.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ht="14.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ht="14.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ht="14.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ht="14.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ht="14.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ht="14.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ht="14.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ht="14.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ht="14.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ht="14.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ht="14.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ht="14.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ht="14.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ht="14.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ht="14.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ht="14.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ht="14.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ht="14.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ht="14.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ht="14.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ht="14.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ht="14.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ht="14.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ht="14.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ht="14.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ht="14.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ht="14.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ht="14.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ht="14.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ht="14.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ht="14.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ht="14.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ht="14.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ht="14.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ht="14.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ht="14.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ht="14.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ht="14.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ht="14.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ht="14.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ht="14.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ht="14.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ht="14.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ht="14.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ht="14.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ht="14.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ht="14.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ht="14.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ht="14.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ht="14.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ht="14.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ht="14.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ht="14.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ht="14.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ht="14.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ht="14.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ht="14.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ht="14.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ht="14.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ht="14.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ht="14.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ht="14.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ht="14.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ht="14.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ht="14.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ht="14.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ht="14.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ht="14.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ht="14.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ht="14.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ht="14.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ht="14.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ht="14.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ht="14.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ht="14.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ht="14.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ht="14.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ht="14.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ht="14.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ht="14.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ht="14.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ht="14.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ht="14.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ht="14.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ht="14.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ht="14.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ht="14.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ht="14.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ht="14.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ht="14.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ht="14.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ht="14.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ht="14.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ht="14.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ht="14.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ht="14.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ht="14.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ht="14.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ht="14.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ht="14.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ht="14.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ht="14.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ht="14.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ht="14.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ht="14.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ht="14.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ht="14.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ht="14.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ht="14.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ht="14.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ht="14.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ht="14.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ht="14.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ht="14.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ht="14.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ht="14.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ht="14.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ht="14.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ht="14.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ht="14.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ht="14.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ht="14.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ht="14.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ht="14.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ht="14.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ht="14.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ht="14.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ht="14.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ht="14.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ht="14.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ht="14.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ht="14.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ht="14.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ht="14.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ht="14.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ht="14.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ht="14.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ht="14.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ht="14.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ht="14.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ht="14.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ht="14.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ht="14.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ht="14.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ht="14.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ht="14.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ht="14.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ht="14.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ht="14.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ht="14.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ht="14.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ht="14.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ht="14.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ht="14.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ht="14.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ht="14.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ht="14.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ht="14.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ht="14.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ht="14.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ht="14.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ht="14.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ht="14.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ht="14.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ht="14.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ht="14.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ht="14.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ht="14.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ht="14.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ht="14.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ht="14.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ht="14.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ht="14.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ht="14.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ht="14.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ht="14.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ht="14.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ht="14.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ht="14.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ht="14.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ht="14.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ht="14.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ht="14.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ht="14.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ht="14.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ht="14.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ht="14.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ht="14.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ht="14.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ht="14.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ht="14.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ht="14.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ht="14.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ht="14.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ht="14.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ht="14.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ht="14.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ht="14.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ht="14.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ht="14.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ht="14.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ht="14.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ht="14.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ht="14.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ht="14.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ht="14.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ht="14.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ht="14.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ht="14.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ht="14.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ht="14.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ht="14.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ht="14.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ht="14.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ht="14.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ht="14.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ht="14.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ht="14.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ht="14.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ht="14.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ht="14.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ht="14.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ht="14.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ht="14.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ht="14.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ht="14.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ht="14.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ht="14.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ht="14.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ht="14.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ht="14.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ht="14.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ht="14.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ht="14.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ht="14.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ht="14.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ht="14.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ht="14.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ht="14.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ht="14.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ht="14.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ht="14.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ht="14.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ht="14.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ht="14.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ht="14.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ht="14.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ht="14.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ht="14.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ht="14.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ht="14.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ht="14.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ht="14.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ht="14.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ht="14.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ht="14.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ht="14.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ht="14.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ht="14.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ht="14.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ht="14.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ht="14.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ht="14.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ht="14.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ht="14.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ht="14.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ht="14.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ht="14.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ht="14.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ht="14.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ht="14.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ht="14.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ht="14.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ht="14.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ht="14.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ht="14.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ht="14.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ht="14.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ht="14.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ht="14.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ht="14.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ht="14.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ht="14.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ht="14.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ht="14.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ht="14.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ht="14.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ht="14.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ht="14.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ht="14.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ht="14.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ht="14.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ht="14.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ht="14.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ht="14.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ht="14.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ht="14.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ht="14.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ht="14.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ht="14.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ht="14.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ht="14.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ht="14.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ht="14.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ht="14.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ht="14.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ht="14.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ht="14.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ht="14.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ht="14.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ht="14.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ht="14.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ht="14.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ht="14.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ht="14.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ht="14.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ht="14.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ht="14.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ht="14.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ht="14.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ht="14.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ht="14.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ht="14.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ht="14.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ht="14.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ht="14.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ht="14.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ht="14.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ht="14.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ht="14.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ht="14.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ht="14.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ht="14.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ht="14.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ht="14.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ht="14.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ht="14.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ht="14.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ht="14.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ht="14.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ht="14.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ht="14.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ht="14.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ht="14.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ht="14.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ht="14.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ht="14.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ht="14.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ht="14.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ht="14.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ht="14.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ht="14.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ht="14.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ht="14.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ht="14.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ht="14.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ht="14.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ht="14.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ht="14.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ht="14.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ht="14.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ht="14.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ht="14.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ht="14.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ht="14.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ht="14.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ht="14.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ht="14.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ht="14.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ht="14.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ht="14.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ht="14.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ht="14.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ht="14.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ht="14.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ht="14.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ht="14.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ht="14.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ht="14.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ht="14.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ht="14.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ht="14.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ht="14.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ht="14.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ht="14.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ht="14.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ht="14.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ht="14.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ht="14.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ht="14.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ht="14.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ht="14.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ht="14.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ht="14.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ht="14.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ht="14.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ht="14.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ht="14.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ht="14.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ht="14.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ht="14.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ht="14.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ht="14.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ht="14.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ht="14.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ht="14.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ht="14.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ht="14.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ht="14.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ht="14.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ht="14.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ht="14.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ht="14.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ht="14.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ht="14.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ht="14.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ht="14.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ht="14.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ht="14.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ht="14.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ht="14.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ht="14.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ht="14.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ht="14.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ht="14.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ht="14.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ht="14.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ht="14.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ht="14.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ht="14.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ht="14.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ht="14.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ht="14.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ht="14.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ht="14.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ht="14.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ht="14.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ht="14.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ht="14.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ht="14.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ht="14.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ht="14.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ht="14.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ht="14.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ht="14.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ht="14.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ht="14.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ht="14.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ht="14.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ht="14.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ht="14.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ht="14.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ht="14.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ht="14.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ht="14.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ht="14.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ht="14.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ht="14.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ht="14.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ht="14.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ht="14.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ht="14.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ht="14.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ht="14.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ht="14.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ht="14.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ht="14.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ht="14.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ht="14.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ht="14.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ht="14.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ht="14.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ht="14.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ht="14.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ht="14.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ht="14.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ht="14.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ht="14.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ht="14.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ht="14.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ht="14.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ht="14.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ht="14.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ht="14.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ht="14.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ht="14.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ht="14.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ht="14.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ht="14.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ht="14.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ht="14.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ht="14.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ht="14.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ht="14.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ht="14.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ht="14.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ht="14.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ht="14.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ht="14.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ht="14.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ht="14.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ht="14.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ht="14.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ht="14.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ht="14.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ht="14.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ht="14.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ht="14.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ht="14.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ht="14.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ht="14.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ht="14.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ht="14.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ht="14.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ht="14.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ht="14.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ht="14.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ht="14.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ht="14.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ht="14.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ht="14.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ht="14.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ht="14.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ht="14.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ht="14.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ht="14.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ht="14.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ht="14.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ht="14.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ht="14.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ht="14.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ht="14.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ht="14.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ht="14.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ht="14.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ht="14.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ht="14.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ht="14.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ht="14.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ht="14.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ht="14.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ht="14.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ht="14.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ht="14.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ht="14.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ht="14.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ht="14.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ht="14.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ht="14.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ht="14.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ht="14.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ht="14.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ht="14.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ht="14.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ht="14.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ht="14.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ht="14.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ht="14.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ht="14.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ht="14.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ht="14.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ht="14.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ht="14.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ht="14.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ht="14.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ht="14.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ht="14.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ht="14.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ht="14.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ht="14.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ht="14.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ht="14.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ht="14.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ht="14.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ht="14.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ht="14.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ht="14.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ht="14.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ht="14.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ht="14.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ht="14.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ht="14.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ht="14.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ht="14.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ht="14.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ht="14.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ht="14.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ht="14.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ht="14.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ht="14.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ht="14.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ht="14.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ht="14.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ht="14.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ht="14.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ht="14.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ht="14.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ht="14.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ht="14.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ht="14.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ht="14.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ht="14.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ht="14.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ht="14.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ht="14.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ht="14.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ht="14.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ht="14.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ht="14.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ht="14.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ht="14.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ht="14.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ht="14.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ht="14.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ht="14.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ht="14.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ht="14.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ht="14.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ht="14.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ht="14.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ht="14.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ht="14.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ht="14.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ht="14.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ht="14.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ht="14.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ht="14.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ht="14.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ht="14.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ht="14.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ht="14.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ht="14.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ht="14.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ht="14.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ht="14.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ht="14.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ht="14.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ht="14.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ht="14.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ht="14.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ht="14.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ht="14.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ht="14.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ht="14.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ht="14.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ht="14.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ht="14.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ht="14.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ht="14.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ht="14.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ht="14.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ht="14.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ht="14.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ht="14.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ht="14.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ht="14.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ht="14.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ht="14.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ht="14.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ht="14.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ht="14.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ht="14.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ht="14.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ht="14.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ht="14.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ht="14.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ht="14.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ht="14.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ht="14.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ht="14.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ht="14.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ht="14.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ht="14.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ht="14.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ht="14.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ht="14.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ht="14.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ht="14.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ht="14.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ht="14.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ht="14.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ht="14.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ht="14.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ht="14.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ht="14.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ht="14.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ht="14.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ht="14.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ht="14.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ht="14.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ht="14.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ht="14.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ht="14.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ht="14.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ht="14.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ht="14.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ht="14.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ht="14.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ht="14.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ht="14.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ht="14.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ht="14.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ht="14.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ht="14.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ht="14.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ht="14.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ht="14.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ht="14.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ht="14.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ht="14.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ht="14.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ht="14.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ht="14.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ht="14.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ht="14.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ht="14.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ht="14.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ht="14.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ht="14.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ht="14.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ht="14.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ht="14.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ht="14.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ht="14.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ht="14.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ht="14.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ht="14.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ht="14.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ht="14.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ht="14.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ht="14.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ht="14.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ht="14.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ht="14.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ht="14.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ht="14.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ht="14.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ht="14.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ht="14.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ht="14.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ht="14.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ht="14.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ht="14.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ht="14.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ht="14.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ht="14.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ht="14.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ht="14.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ht="14.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ht="14.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ht="14.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ht="14.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ht="14.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ht="14.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ht="14.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ht="14.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ht="14.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ht="14.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ht="14.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ht="14.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ht="14.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ht="14.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ht="14.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ht="14.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ht="14.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ht="14.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ht="14.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ht="14.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ht="14.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ht="14.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ht="14.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ht="14.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ht="14.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ht="14.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ht="14.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ht="14.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ht="14.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ht="14.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ht="14.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ht="14.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ht="14.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ht="14.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ht="14.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ht="14.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ht="14.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ht="14.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ht="14.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ht="14.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ht="14.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ht="14.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ht="14.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ht="14.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ht="14.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ht="14.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ht="14.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ht="14.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ht="14.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ht="14.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ht="14.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ht="14.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ht="14.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ht="14.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ht="14.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ht="14.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ht="14.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ht="14.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ht="14.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ht="14.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ht="14.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ht="14.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ht="14.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ht="14.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ht="14.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ht="14.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ht="14.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ht="14.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ht="14.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ht="14.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ht="14.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ht="14.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ht="14.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ht="14.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ht="14.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ht="14.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ht="14.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ht="14.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ht="14.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ht="14.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ht="14.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ht="14.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ht="14.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ht="14.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ht="14.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ht="14.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G17" sqref="G17"/>
    </sheetView>
  </sheetViews>
  <sheetFormatPr defaultRowHeight="14.5" x14ac:dyDescent="0.35"/>
  <cols>
    <col min="1" max="1" width="4"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60" zoomScaleNormal="60" workbookViewId="0">
      <selection activeCell="AD15" sqref="AD15"/>
    </sheetView>
  </sheetViews>
  <sheetFormatPr defaultRowHeight="14.5" x14ac:dyDescent="0.35"/>
  <cols>
    <col min="1" max="1" width="3.36328125" customWidth="1"/>
    <col min="2" max="2" width="24.26953125" customWidth="1"/>
    <col min="3" max="4" width="3.6328125" customWidth="1"/>
    <col min="5" max="25" width="9.453125"/>
    <col min="26" max="26" width="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24"/>
  <sheetViews>
    <sheetView workbookViewId="0">
      <selection activeCell="B15" sqref="B15"/>
    </sheetView>
  </sheetViews>
  <sheetFormatPr defaultRowHeight="14.5" x14ac:dyDescent="0.35"/>
  <cols>
    <col min="1" max="1" width="3.6328125" customWidth="1"/>
    <col min="8" max="8" width="19.54296875" customWidth="1"/>
  </cols>
  <sheetData>
    <row r="3" spans="2:8" x14ac:dyDescent="0.35">
      <c r="B3" t="s">
        <v>2518</v>
      </c>
    </row>
    <row r="4" spans="2:8" x14ac:dyDescent="0.35">
      <c r="H4" s="11"/>
    </row>
    <row r="5" spans="2:8" x14ac:dyDescent="0.35">
      <c r="B5" t="s">
        <v>2519</v>
      </c>
    </row>
    <row r="6" spans="2:8" x14ac:dyDescent="0.35">
      <c r="B6" s="5"/>
      <c r="C6" t="s">
        <v>2520</v>
      </c>
      <c r="D6" t="s">
        <v>2526</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Sheet3</vt:lpstr>
      <vt:lpstr>Data</vt:lpstr>
      <vt:lpstr>Questions &amp; KPIs</vt:lpstr>
      <vt:lpstr>Dashboard</vt:lpstr>
      <vt:lpstr>Logo &amp; Colors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User</cp:lastModifiedBy>
  <dcterms:created xsi:type="dcterms:W3CDTF">2025-06-13T02:42:26Z</dcterms:created>
  <dcterms:modified xsi:type="dcterms:W3CDTF">2026-03-08T21:33:29Z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3</vt:i4>
  </property>
</Properties>
</file>